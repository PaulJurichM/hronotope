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1e7d6eb878c40d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rpus" sheetId="1" r:id="R3ea6100a7f4c4276"/>
    <x:sheet xmlns:r="http://schemas.openxmlformats.org/officeDocument/2006/relationships" name="Series Summary" sheetId="2" r:id="R379f3ef96a8e42e7"/>
    <x:sheet xmlns:r="http://schemas.openxmlformats.org/officeDocument/2006/relationships" name="Method &amp; Sources" sheetId="3" r:id="Rd7dc46f0cd684213"/>
    <x:sheet xmlns:r="http://schemas.openxmlformats.org/officeDocument/2006/relationships" name="Review Queue" sheetId="4" r:id="R859a81d3d63a4af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6">
    <x:font>
      <x:sz val="11"/>
      <x:name val="Carlito"/>
    </x:font>
    <x:font>
      <x:b/>
      <x:sz val="10"/>
      <x:color rgb="FFFFFFFF"/>
      <x:name val="Carlito"/>
    </x:font>
    <x:font>
      <x:b/>
      <x:sz val="18"/>
      <x:color rgb="FFFFFFFF"/>
      <x:name val="Carlito"/>
    </x:font>
    <x:font>
      <x:b/>
      <x:sz val="11"/>
      <x:color rgb="FF243B53"/>
      <x:name val="Carlito"/>
    </x:font>
    <x:font>
      <x:b/>
      <x:sz val="11"/>
      <x:color rgb="FFFFFFFF"/>
      <x:name val="Carlito"/>
    </x:font>
    <x:font>
      <x:b/>
      <x:sz val="17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243B53"/>
      </x:patternFill>
    </x:fill>
    <x:fill>
      <x:patternFill patternType="solid">
        <x:fgColor rgb="FF8B2D2A"/>
      </x:patternFill>
    </x:fill>
    <x:fill>
      <x:patternFill patternType="solid">
        <x:fgColor rgb="FFD9E2F3"/>
      </x:patternFill>
    </x:fill>
  </x:fills>
  <x:borders count="14">
    <x:border/>
    <x:border/>
    <x:border>
      <x:left style="thin">
        <x:color rgb="FFB7C9D6"/>
      </x:left>
      <x:top style="thin">
        <x:color rgb="FFB7C9D6"/>
      </x:top>
    </x:border>
    <x:border>
      <x:right style="thin">
        <x:color rgb="FFB7C9D6"/>
      </x:right>
      <x:top style="thin">
        <x:color rgb="FFB7C9D6"/>
      </x:top>
    </x:border>
    <x:border>
      <x:left style="thin">
        <x:color rgb="FFB7C9D6"/>
      </x:left>
    </x:border>
    <x:border>
      <x:right style="thin">
        <x:color rgb="FFB7C9D6"/>
      </x:right>
    </x:border>
    <x:border>
      <x:left style="thin">
        <x:color rgb="FFB7C9D6"/>
      </x:left>
      <x:bottom style="thin">
        <x:color rgb="FFB7C9D6"/>
      </x:bottom>
    </x:border>
    <x:border>
      <x:right style="thin">
        <x:color rgb="FFB7C9D6"/>
      </x:right>
      <x:bottom style="thin">
        <x:color rgb="FFB7C9D6"/>
      </x:bottom>
    </x:border>
    <x:border>
      <x:left style="thin">
        <x:color rgb="FFB7C9D6"/>
      </x:left>
      <x:top style="thin">
        <x:color rgb="FFB7C9D6"/>
      </x:top>
    </x:border>
    <x:border>
      <x:right style="thin">
        <x:color rgb="FFB7C9D6"/>
      </x:right>
      <x:top style="thin">
        <x:color rgb="FFB7C9D6"/>
      </x:top>
    </x:border>
    <x:border>
      <x:left style="thin">
        <x:color rgb="FFB7C9D6"/>
      </x:left>
    </x:border>
    <x:border>
      <x:right style="thin">
        <x:color rgb="FFB7C9D6"/>
      </x:right>
    </x:border>
    <x:border>
      <x:left style="thin">
        <x:color rgb="FFB7C9D6"/>
      </x:left>
      <x:bottom style="thin">
        <x:color rgb="FFB7C9D6"/>
      </x:bottom>
    </x:border>
    <x:border>
      <x:right style="thin">
        <x:color rgb="FFB7C9D6"/>
      </x:right>
      <x:bottom style="thin">
        <x:color rgb="FFB7C9D6"/>
      </x:bottom>
    </x:border>
  </x:borders>
  <x:cellStyleXfs count="1">
    <x:xf numFmtId="0" fontId="0" fillId="0" borderId="0"/>
  </x:cellStyleXfs>
  <x:cellXfs count="53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1" fillId="2" borderId="1" xfId="0" applyNumberFormat="1" applyFont="1" applyFill="1" applyBorder="1" applyAlignment="1">
      <x:alignment horizontal="center"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vertic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horizontal="center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horizontal="center"/>
    </x:xf>
    <x:xf numFmtId="0" fontId="3" fillId="4" borderId="2" xfId="0" applyNumberFormat="1" applyFont="1" applyFill="1" applyBorder="1" applyAlignment="1">
      <x:alignment horizontal="center"/>
    </x:xf>
    <x:xf numFmtId="0" fontId="3" fillId="4" borderId="3" xfId="0" applyNumberFormat="1" applyFont="1" applyFill="1" applyBorder="1" applyAlignment="1">
      <x:alignment horizontal="center"/>
    </x:xf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3" fillId="4" borderId="8" xfId="0" applyNumberFormat="1" applyFont="1" applyFill="1" applyBorder="1" applyAlignment="1">
      <x:alignment horizontal="center"/>
    </x:xf>
    <x:xf numFmtId="0" fontId="3" fillId="4" borderId="9" xfId="0" applyNumberFormat="1" applyFont="1" applyFill="1" applyBorder="1" applyAlignment="1">
      <x:alignment horizontal="center"/>
    </x:xf>
    <x:xf numFmtId="0" fontId="0" fillId="0" borderId="10" xfId="0" applyNumberFormat="1" applyFont="1" applyFill="1" applyBorder="1"/>
    <x:xf numFmtId="0" fontId="0" fillId="0" borderId="11" xfId="0" applyNumberFormat="1" applyFont="1" applyFill="1" applyBorder="1"/>
    <x:xf numFmtId="0" fontId="0" fillId="0" borderId="12" xfId="0" applyNumberFormat="1" applyFont="1" applyFill="1" applyBorder="1"/>
    <x:xf numFmtId="0" fontId="0" fillId="0" borderId="13" xfId="0" applyNumberFormat="1" applyFont="1" applyFill="1" applyBorder="1"/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horizontal="center"/>
    </x:xf>
    <x:xf numFmtId="0" fontId="4" fillId="2" borderId="1" xfId="0" applyNumberFormat="1" applyFont="1" applyFill="1" applyBorder="1"/>
    <x:xf numFmtId="0" fontId="4" fillId="2" borderId="1" xfId="0" applyNumberFormat="1" applyFont="1" applyFill="1" applyBorder="1" applyAlignment="1">
      <x:alignment horizontal="center"/>
    </x:xf>
    <x:xf numFmtId="0" fontId="4" fillId="2" borderId="0" xfId="0" applyNumberFormat="1" applyFont="1" applyFill="1" applyBorder="1" applyAlignment="1">
      <x:alignment horizontal="center" wrapText="1"/>
    </x:xf>
    <x:xf numFmtId="0" fontId="4" fillId="2" borderId="1" xfId="0" applyNumberFormat="1" applyFont="1" applyFill="1" applyBorder="1" applyAlignment="1">
      <x:alignment horizontal="center" wrapText="1"/>
    </x:xf>
    <x:xf numFmtId="0" fontId="5" fillId="3" borderId="0" xfId="0" applyNumberFormat="1" applyFont="1" applyFill="1" applyBorder="1"/>
    <x:xf numFmtId="0" fontId="5" fillId="3" borderId="1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wrapText="1"/>
    </x:xf>
    <x:xf numFmtId="0" fontId="4" fillId="2" borderId="0" xfId="0" applyNumberFormat="1" applyFont="1" applyFill="1" applyBorder="1" applyAlignment="1">
      <x:alignment wrapText="1"/>
    </x:xf>
  </x:cellXfs>
  <x:cellStyles count="1">
    <x:cellStyle name="Normal" xfId="0"/>
  </x:cellStyles>
  <x:dxfs count="5">
    <x:dxf>
      <x:font>
        <x:b/>
        <x:color rgb="FF274E13"/>
      </x:font>
      <x:fill>
        <x:patternFill patternType="solid">
          <x:bgColor rgb="FFD9EAD3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990000"/>
      </x:font>
      <x:fill>
        <x:patternFill patternType="solid">
          <x:bgColor rgb="FFF4CCCC"/>
        </x:patternFill>
      </x:fill>
    </x:dxf>
    <x:dxf>
      <x:font>
        <x:b/>
        <x:color rgb="FF990000"/>
      </x:font>
      <x:fill>
        <x:patternFill patternType="solid">
          <x:bgColor rgb="FFF4CCCC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41a462a5e884486" /><Relationship Type="http://schemas.openxmlformats.org/officeDocument/2006/relationships/theme" Target="/xl/theme/theme1.xml" Id="R8e4b83303a7f4608" /><Relationship Type="http://schemas.openxmlformats.org/officeDocument/2006/relationships/sharedStrings" Target="/xl/sharedStrings.xml" Id="R31d5c4113c6c4b65" /><Relationship Type="http://schemas.openxmlformats.org/officeDocument/2006/relationships/worksheet" Target="/xl/worksheets/sheet1.xml" Id="R3ea6100a7f4c4276" /><Relationship Type="http://schemas.openxmlformats.org/officeDocument/2006/relationships/worksheet" Target="/xl/worksheets/sheet2.xml" Id="R379f3ef96a8e42e7" /><Relationship Type="http://schemas.openxmlformats.org/officeDocument/2006/relationships/worksheet" Target="/xl/worksheets/sheet3.xml" Id="Rd7dc46f0cd684213" /><Relationship Type="http://schemas.openxmlformats.org/officeDocument/2006/relationships/worksheet" Target="/xl/worksheets/sheet4.xml" Id="R859a81d3d63a4af4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4195d0fca66a4110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Количество временных карточек по циклам</a:t>
            </a:r>
          </a:p>
        </c:rich>
      </c:tx>
      <c:overlay val="0"/>
    </c:title>
    <c:autoTitleDeleted val="0"/>
    <c:plotArea>
      <c:layout/>
      <c:barChart>
        <c:barDir val="col"/>
        <c:varyColors val="0"/>
        <c:ser>
          <c:idx val="0"/>
          <c:order val="0"/>
          <c:tx>
            <c:v>Cards</c:v>
          </c:tx>
          <c:cat>
            <c:strRef>
              <c:f>'Series Summary'!$A$11:$A$22</c:f>
              <c:strCache>
                <c:ptCount val="0"/>
              </c:strCache>
            </c:strRef>
          </c:cat>
          <c:val>
            <c:numRef>
              <c:f>'Series Summary'!$B$11:$B$22</c:f>
              <c:numCache>
                <c:formatCode>General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5</xdr:col>
      <xdr:colOff>0</xdr:colOff>
      <xdr:row>2</xdr:row>
      <xdr:rowOff>0</xdr:rowOff>
    </xdr:from>
    <xdr:to>
      <xdr:col>14</xdr:col>
      <xdr:colOff>0</xdr:colOff>
      <xdr:row>22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4195d0fca66a4110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AkuninChronotopeCorpus" displayName="AkuninChronotopeCorpus" ref="A1:U100" headerRowCount="1">
  <x:tableColumns count="21">
    <x:tableColumn id="1" name="ID"/>
    <x:tableColumn id="2" name="Author / Pseudonym"/>
    <x:tableColumn id="3" name="Cycle"/>
    <x:tableColumn id="4" name="Title"/>
    <x:tableColumn id="5" name="Parent Work"/>
    <x:tableColumn id="6" name="Form"/>
    <x:tableColumn id="7" name="Start Year"/>
    <x:tableColumn id="8" name="End Year"/>
    <x:tableColumn id="9" name="Duration"/>
    <x:tableColumn id="10" name="Date Label"/>
    <x:tableColumn id="11" name="Location"/>
    <x:tableColumn id="12" name="Characters"/>
    <x:tableColumn id="13" name="Temporal Layer"/>
    <x:tableColumn id="14" name="Confidence"/>
    <x:tableColumn id="15" name="Research Status"/>
    <x:tableColumn id="16" name="Dating Basis"/>
    <x:tableColumn id="17" name="Primary Source"/>
    <x:tableColumn id="18" name="Secondary Source"/>
    <x:tableColumn id="19" name="Notes"/>
    <x:tableColumn id="20" name="Illustration Motifs"/>
    <x:tableColumn id="21" name="Scope"/>
  </x:tableColumns>
  <x:tableStyleInfo name="TableStyleMedium2" showRowStripes="1"/>
</x:table>
</file>

<file path=xl/tables/table2.xml><?xml version="1.0" encoding="utf-8"?>
<x:table xmlns:x="http://schemas.openxmlformats.org/spreadsheetml/2006/main" id="2" name="CycleSummaryTable" displayName="CycleSummaryTable" ref="A10:D22" headerRowCount="1">
  <x:tableColumns count="4">
    <x:tableColumn id="1" name="Cycle"/>
    <x:tableColumn id="2" name="Cards"/>
    <x:tableColumn id="3" name="High Confidence"/>
    <x:tableColumn id="4" name="Undated"/>
  </x:tableColumns>
  <x:tableStyleInfo name="TableStyleMedium2" showRowStripes="1"/>
</x:table>
</file>

<file path=xl/tables/table3.xml><?xml version="1.0" encoding="utf-8"?>
<x:table xmlns:x="http://schemas.openxmlformats.org/spreadsheetml/2006/main" id="3" name="ChronotopeReviewQueue" displayName="ChronotopeReviewQueue" ref="A1:F60" headerRowCount="1">
  <x:tableColumns count="6">
    <x:tableColumn id="1" name="Priority"/>
    <x:tableColumn id="2" name="Cycle"/>
    <x:tableColumn id="3" name="Title"/>
    <x:tableColumn id="4" name="Current Confidence"/>
    <x:tableColumn id="5" name="Required Next Check"/>
    <x:tableColumn id="6" name="Source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0f03b9ef2b474ec4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/xl/drawings/drawing1.xml" Id="R9a9c451f419447d2" /><Relationship Type="http://schemas.openxmlformats.org/officeDocument/2006/relationships/table" Target="/xl/tables/table2.xml" Id="R5137c94d211e487a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7730b0514b754666" /></Relationships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0" hidden="0" customWidth="1"/>
    <x:col min="3" max="3" width="31" hidden="0" customWidth="1"/>
    <x:col min="4" max="4" width="34" hidden="0" customWidth="1"/>
    <x:col min="5" max="5" width="28" hidden="0" customWidth="1"/>
    <x:col min="6" max="6" width="22" hidden="0" customWidth="1"/>
    <x:col min="7" max="7" width="13" hidden="0" customWidth="1"/>
    <x:col min="8" max="8" width="13" hidden="0" customWidth="1"/>
    <x:col min="9" max="9" width="13" hidden="0" customWidth="1"/>
    <x:col min="10" max="10" width="13" hidden="0" customWidth="1"/>
    <x:col min="11" max="11" width="33" hidden="0" customWidth="1"/>
    <x:col min="12" max="12" width="33" hidden="0" customWidth="1"/>
    <x:col min="13" max="13" width="28" hidden="0" customWidth="1"/>
    <x:col min="14" max="14" width="28" hidden="0" customWidth="1"/>
    <x:col min="15" max="15" width="28" hidden="0" customWidth="1"/>
    <x:col min="16" max="16" width="28" hidden="0" customWidth="1"/>
    <x:col min="17" max="17" width="42" hidden="0" customWidth="1"/>
    <x:col min="18" max="18" width="42" hidden="0" customWidth="1"/>
    <x:col min="19" max="19" width="35" hidden="0" customWidth="1"/>
    <x:col min="20" max="20" width="35" hidden="0" customWidth="1"/>
    <x:col min="21" max="21" width="35" hidden="0" customWidth="1"/>
  </x:cols>
  <x:sheetData>
    <x:row r="1">
      <x:c r="A1" s="14" t="str">
        <x:v>ID</x:v>
      </x:c>
      <x:c r="B1" s="14" t="str">
        <x:v>Author / Pseudonym</x:v>
      </x:c>
      <x:c r="C1" s="14" t="str">
        <x:v>Cycle</x:v>
      </x:c>
      <x:c r="D1" s="14" t="str">
        <x:v>Title</x:v>
      </x:c>
      <x:c r="E1" s="14" t="str">
        <x:v>Parent Work</x:v>
      </x:c>
      <x:c r="F1" s="14" t="str">
        <x:v>Form</x:v>
      </x:c>
      <x:c r="G1" s="14" t="str">
        <x:v>Start Year</x:v>
      </x:c>
      <x:c r="H1" s="14" t="str">
        <x:v>End Year</x:v>
      </x:c>
      <x:c r="I1" s="14" t="str">
        <x:v>Duration</x:v>
      </x:c>
      <x:c r="J1" s="14" t="str">
        <x:v>Date Label</x:v>
      </x:c>
      <x:c r="K1" s="14" t="str">
        <x:v>Location</x:v>
      </x:c>
      <x:c r="L1" s="14" t="str">
        <x:v>Characters</x:v>
      </x:c>
      <x:c r="M1" s="14" t="str">
        <x:v>Temporal Layer</x:v>
      </x:c>
      <x:c r="N1" s="14" t="str">
        <x:v>Confidence</x:v>
      </x:c>
      <x:c r="O1" s="14" t="str">
        <x:v>Research Status</x:v>
      </x:c>
      <x:c r="P1" s="14" t="str">
        <x:v>Dating Basis</x:v>
      </x:c>
      <x:c r="Q1" s="14" t="str">
        <x:v>Primary Source</x:v>
      </x:c>
      <x:c r="R1" s="14" t="str">
        <x:v>Secondary Source</x:v>
      </x:c>
      <x:c r="S1" s="14" t="str">
        <x:v>Notes</x:v>
      </x:c>
      <x:c r="T1" s="14" t="str">
        <x:v>Illustration Motifs</x:v>
      </x:c>
      <x:c r="U1" s="14" t="str">
        <x:v>Scope</x:v>
      </x:c>
    </x:row>
    <x:row r="2">
      <x:c r="A2" s="15" t="str">
        <x:v>irg-fiction-1</x:v>
      </x:c>
      <x:c r="B2" s="15" t="str">
        <x:v>Борис Акунин</x:v>
      </x:c>
      <x:c r="C2" s="15" t="str">
        <x:v>История государства: беллетристика</x:v>
      </x:c>
      <x:c r="D2" s="15" t="str">
        <x:v>Огненный перст</x:v>
      </x:c>
      <x:c r="E2" s="15" t="str">
        <x:v>Огненный перст</x:v>
      </x:c>
      <x:c r="F2" s="15" t="str">
        <x:v>сборник / роман</x:v>
      </x:c>
      <x:c r="G2" s="15" t="n">
        <x:v>860</x:v>
      </x:c>
      <x:c r="H2" s="15" t="n">
        <x:v>1237</x:v>
      </x:c>
      <x:c r="I2" s="15" t="n">
        <x:f>IF(OR(G2="",H2=""),"",H2-G2+1)</x:f>
        <x:v>378</x:v>
      </x:c>
      <x:c r="J2" s="15" t="str">
        <x:v>860–1237</x:v>
      </x:c>
      <x:c r="K2" s="15" t="str">
        <x:v>Россия и сопредельные территории</x:v>
      </x:c>
      <x:c r="L2" s="15" t="str">
        <x:v>персонажи соответствующей исторической эпохи</x:v>
      </x:c>
      <x:c r="M2" s="15" t="str">
        <x:v>книжный макропласт</x:v>
      </x:c>
      <x:c r="N2" s="15" t="str">
        <x:v>Низкая</x:v>
      </x:c>
      <x:c r="O2" s="15" t="str">
        <x:v>Макродиапазон; требуется разбивка на повести и рассказы</x:v>
      </x:c>
      <x:c r="P2" s="15" t="str">
        <x:v>Беллетристическое сопровождение исторического тома: Древняя Русь до монгольского нашествия.</x:v>
      </x:c>
      <x:c r="Q2" s="15" t="str">
        <x:v>https://babook.org/store/series/12</x:v>
      </x:c>
      <x:c r="R2" s="15" t="str"/>
      <x:c r="S2" s="15" t="str">
        <x:v>В v0.2 книга будет разложена на отдельные сюжеты.</x:v>
      </x:c>
      <x:c r="T2" s="15" t="str">
        <x:v>огонь, княжеская дружина, летопись</x:v>
      </x:c>
      <x:c r="U2" s="15" t="str">
        <x:v>основной</x:v>
      </x:c>
    </x:row>
    <x:row r="3">
      <x:c r="A3" s="15" t="str">
        <x:v>irg-fiction-2</x:v>
      </x:c>
      <x:c r="B3" s="15" t="str">
        <x:v>Борис Акунин</x:v>
      </x:c>
      <x:c r="C3" s="15" t="str">
        <x:v>История государства: беллетристика</x:v>
      </x:c>
      <x:c r="D3" s="15" t="str">
        <x:v>Бох и Шельма</x:v>
      </x:c>
      <x:c r="E3" s="15" t="str">
        <x:v>Бох и Шельма</x:v>
      </x:c>
      <x:c r="F3" s="15" t="str">
        <x:v>сборник / роман</x:v>
      </x:c>
      <x:c r="G3" s="15" t="n">
        <x:v>1238</x:v>
      </x:c>
      <x:c r="H3" s="15" t="n">
        <x:v>1480</x:v>
      </x:c>
      <x:c r="I3" s="15" t="n">
        <x:f>IF(OR(G3="",H3=""),"",H3-G3+1)</x:f>
        <x:v>243</x:v>
      </x:c>
      <x:c r="J3" s="15" t="str">
        <x:v>1238–1480</x:v>
      </x:c>
      <x:c r="K3" s="15" t="str">
        <x:v>Россия и сопредельные территории</x:v>
      </x:c>
      <x:c r="L3" s="15" t="str">
        <x:v>персонажи соответствующей исторической эпохи</x:v>
      </x:c>
      <x:c r="M3" s="15" t="str">
        <x:v>книжный макропласт</x:v>
      </x:c>
      <x:c r="N3" s="15" t="str">
        <x:v>Низкая</x:v>
      </x:c>
      <x:c r="O3" s="15" t="str">
        <x:v>Макродиапазон; требуется разбивка на повести и рассказы</x:v>
      </x:c>
      <x:c r="P3" s="15" t="str">
        <x:v>Беллетристическое сопровождение исторического тома: Ордынский период.</x:v>
      </x:c>
      <x:c r="Q3" s="15" t="str">
        <x:v>https://babook.org/store/series/12</x:v>
      </x:c>
      <x:c r="R3" s="15" t="str"/>
      <x:c r="S3" s="15" t="str">
        <x:v>В v0.2 книга будет разложена на отдельные сюжеты.</x:v>
      </x:c>
      <x:c r="T3" s="15" t="str">
        <x:v>Орда, дань, степь</x:v>
      </x:c>
      <x:c r="U3" s="15" t="str">
        <x:v>основной</x:v>
      </x:c>
    </x:row>
    <x:row r="4">
      <x:c r="A4" s="15" t="str">
        <x:v>irg-fiction-3</x:v>
      </x:c>
      <x:c r="B4" s="15" t="str">
        <x:v>Борис Акунин</x:v>
      </x:c>
      <x:c r="C4" s="15" t="str">
        <x:v>История государства: беллетристика</x:v>
      </x:c>
      <x:c r="D4" s="15" t="str">
        <x:v>Вдовий плат</x:v>
      </x:c>
      <x:c r="E4" s="15" t="str">
        <x:v>Вдовий плат</x:v>
      </x:c>
      <x:c r="F4" s="15" t="str">
        <x:v>сборник / роман</x:v>
      </x:c>
      <x:c r="G4" s="15" t="n">
        <x:v>1462</x:v>
      </x:c>
      <x:c r="H4" s="15" t="n">
        <x:v>1605</x:v>
      </x:c>
      <x:c r="I4" s="15" t="n">
        <x:f>IF(OR(G4="",H4=""),"",H4-G4+1)</x:f>
        <x:v>144</x:v>
      </x:c>
      <x:c r="J4" s="15" t="str">
        <x:v>1462–1605</x:v>
      </x:c>
      <x:c r="K4" s="15" t="str">
        <x:v>Россия и сопредельные территории</x:v>
      </x:c>
      <x:c r="L4" s="15" t="str">
        <x:v>персонажи соответствующей исторической эпохи</x:v>
      </x:c>
      <x:c r="M4" s="15" t="str">
        <x:v>книжный макропласт</x:v>
      </x:c>
      <x:c r="N4" s="15" t="str">
        <x:v>Низкая</x:v>
      </x:c>
      <x:c r="O4" s="15" t="str">
        <x:v>Макродиапазон; требуется разбивка на повести и рассказы</x:v>
      </x:c>
      <x:c r="P4" s="15" t="str">
        <x:v>Беллетристическое сопровождение исторического тома: от Ивана III до Бориса Годунова.</x:v>
      </x:c>
      <x:c r="Q4" s="15" t="str">
        <x:v>https://babook.org/store/series/12</x:v>
      </x:c>
      <x:c r="R4" s="15" t="str"/>
      <x:c r="S4" s="15" t="str">
        <x:v>В v0.2 книга будет разложена на отдельные сюжеты.</x:v>
      </x:c>
      <x:c r="T4" s="15" t="str">
        <x:v>Москва, плат, государев двор</x:v>
      </x:c>
      <x:c r="U4" s="15" t="str">
        <x:v>основной</x:v>
      </x:c>
    </x:row>
    <x:row r="5">
      <x:c r="A5" s="15" t="str">
        <x:v>irg-fiction-4</x:v>
      </x:c>
      <x:c r="B5" s="15" t="str">
        <x:v>Борис Акунин</x:v>
      </x:c>
      <x:c r="C5" s="15" t="str">
        <x:v>История государства: беллетристика</x:v>
      </x:c>
      <x:c r="D5" s="15" t="str">
        <x:v>Седмица Трёхглазого</x:v>
      </x:c>
      <x:c r="E5" s="15" t="str">
        <x:v>Седмица Трёхглазого</x:v>
      </x:c>
      <x:c r="F5" s="15" t="str">
        <x:v>сборник / роман</x:v>
      </x:c>
      <x:c r="G5" s="15" t="n">
        <x:v>1625</x:v>
      </x:c>
      <x:c r="H5" s="15" t="n">
        <x:v>1700</x:v>
      </x:c>
      <x:c r="I5" s="15" t="n">
        <x:f>IF(OR(G5="",H5=""),"",H5-G5+1)</x:f>
        <x:v>76</x:v>
      </x:c>
      <x:c r="J5" s="15" t="str">
        <x:v>1625–1700</x:v>
      </x:c>
      <x:c r="K5" s="15" t="str">
        <x:v>Россия и сопредельные территории</x:v>
      </x:c>
      <x:c r="L5" s="15" t="str">
        <x:v>персонажи соответствующей исторической эпохи</x:v>
      </x:c>
      <x:c r="M5" s="15" t="str">
        <x:v>книжный макропласт</x:v>
      </x:c>
      <x:c r="N5" s="15" t="str">
        <x:v>Средняя</x:v>
      </x:c>
      <x:c r="O5" s="15" t="str">
        <x:v>Макродиапазон; требуется разбивка на повести и рассказы</x:v>
      </x:c>
      <x:c r="P5" s="15" t="str">
        <x:v>Беллетристическое сопровождение исторического тома: XVII век.</x:v>
      </x:c>
      <x:c r="Q5" s="15" t="str">
        <x:v>https://babook.org/store/series/12</x:v>
      </x:c>
      <x:c r="R5" s="15" t="str"/>
      <x:c r="S5" s="15" t="str">
        <x:v>В v0.2 книга будет разложена на отдельные сюжеты.</x:v>
      </x:c>
      <x:c r="T5" s="15" t="str">
        <x:v>сыщик, семь дней, допетровская Москва</x:v>
      </x:c>
      <x:c r="U5" s="15" t="str">
        <x:v>основной</x:v>
      </x:c>
    </x:row>
    <x:row r="6">
      <x:c r="A6" s="15" t="str">
        <x:v>irg-fiction-5</x:v>
      </x:c>
      <x:c r="B6" s="15" t="str">
        <x:v>Борис Акунин</x:v>
      </x:c>
      <x:c r="C6" s="15" t="str">
        <x:v>История государства: беллетристика</x:v>
      </x:c>
      <x:c r="D6" s="15" t="str">
        <x:v>Ореховый Будда</x:v>
      </x:c>
      <x:c r="E6" s="15" t="str">
        <x:v>Ореховый Будда</x:v>
      </x:c>
      <x:c r="F6" s="15" t="str">
        <x:v>сборник / роман</x:v>
      </x:c>
      <x:c r="G6" s="15" t="n">
        <x:v>1689</x:v>
      </x:c>
      <x:c r="H6" s="15" t="n">
        <x:v>1725</x:v>
      </x:c>
      <x:c r="I6" s="15" t="n">
        <x:f>IF(OR(G6="",H6=""),"",H6-G6+1)</x:f>
        <x:v>37</x:v>
      </x:c>
      <x:c r="J6" s="15" t="str">
        <x:v>1689–1725</x:v>
      </x:c>
      <x:c r="K6" s="15" t="str">
        <x:v>Россия и сопредельные территории</x:v>
      </x:c>
      <x:c r="L6" s="15" t="str">
        <x:v>персонажи соответствующей исторической эпохи</x:v>
      </x:c>
      <x:c r="M6" s="15" t="str">
        <x:v>книжный макропласт</x:v>
      </x:c>
      <x:c r="N6" s="15" t="str">
        <x:v>Средняя</x:v>
      </x:c>
      <x:c r="O6" s="15" t="str">
        <x:v>Макродиапазон; требуется разбивка на повести и рассказы</x:v>
      </x:c>
      <x:c r="P6" s="15" t="str">
        <x:v>Беллетристическое сопровождение исторического тома: петровская эпоха.</x:v>
      </x:c>
      <x:c r="Q6" s="15" t="str">
        <x:v>https://babook.org/store/series/12</x:v>
      </x:c>
      <x:c r="R6" s="15" t="str"/>
      <x:c r="S6" s="15" t="str">
        <x:v>В v0.2 книга будет разложена на отдельные сюжеты.</x:v>
      </x:c>
      <x:c r="T6" s="15" t="str">
        <x:v>японская статуэтка, корабль, реформы</x:v>
      </x:c>
      <x:c r="U6" s="15" t="str">
        <x:v>основной</x:v>
      </x:c>
    </x:row>
    <x:row r="7">
      <x:c r="A7" s="15" t="str">
        <x:v>irg-fiction-6</x:v>
      </x:c>
      <x:c r="B7" s="15" t="str">
        <x:v>Борис Акунин</x:v>
      </x:c>
      <x:c r="C7" s="15" t="str">
        <x:v>История государства: беллетристика</x:v>
      </x:c>
      <x:c r="D7" s="15" t="str">
        <x:v>Доброключения и рассуждения Луция Катина</x:v>
      </x:c>
      <x:c r="E7" s="15" t="str">
        <x:v>Доброключения и рассуждения Луция Катина</x:v>
      </x:c>
      <x:c r="F7" s="15" t="str">
        <x:v>сборник / роман</x:v>
      </x:c>
      <x:c r="G7" s="15" t="n">
        <x:v>1762</x:v>
      </x:c>
      <x:c r="H7" s="15" t="n">
        <x:v>1796</x:v>
      </x:c>
      <x:c r="I7" s="15" t="n">
        <x:f>IF(OR(G7="",H7=""),"",H7-G7+1)</x:f>
        <x:v>35</x:v>
      </x:c>
      <x:c r="J7" s="15" t="str">
        <x:v>1762–1796</x:v>
      </x:c>
      <x:c r="K7" s="15" t="str">
        <x:v>Россия и сопредельные территории</x:v>
      </x:c>
      <x:c r="L7" s="15" t="str">
        <x:v>персонажи соответствующей исторической эпохи</x:v>
      </x:c>
      <x:c r="M7" s="15" t="str">
        <x:v>книжный макропласт</x:v>
      </x:c>
      <x:c r="N7" s="15" t="str">
        <x:v>Средняя</x:v>
      </x:c>
      <x:c r="O7" s="15" t="str">
        <x:v>Макродиапазон; требуется разбивка на повести и рассказы</x:v>
      </x:c>
      <x:c r="P7" s="15" t="str">
        <x:v>Беллетристическое сопровождение исторического тома: эпоха Екатерины II.</x:v>
      </x:c>
      <x:c r="Q7" s="15" t="str">
        <x:v>https://babook.org/store/series/12</x:v>
      </x:c>
      <x:c r="R7" s="15" t="str"/>
      <x:c r="S7" s="15" t="str">
        <x:v>В v0.2 книга будет разложена на отдельные сюжеты.</x:v>
      </x:c>
      <x:c r="T7" s="15" t="str">
        <x:v>просветитель, путешествие, салон</x:v>
      </x:c>
      <x:c r="U7" s="15" t="str">
        <x:v>основной</x:v>
      </x:c>
    </x:row>
    <x:row r="8">
      <x:c r="A8" s="15" t="str">
        <x:v>irg-fiction-7</x:v>
      </x:c>
      <x:c r="B8" s="15" t="str">
        <x:v>Борис Акунин</x:v>
      </x:c>
      <x:c r="C8" s="15" t="str">
        <x:v>История государства: беллетристика</x:v>
      </x:c>
      <x:c r="D8" s="15" t="str">
        <x:v>Мiр и война</x:v>
      </x:c>
      <x:c r="E8" s="15" t="str">
        <x:v>Мiр и война</x:v>
      </x:c>
      <x:c r="F8" s="15" t="str">
        <x:v>сборник / роман</x:v>
      </x:c>
      <x:c r="G8" s="15" t="n">
        <x:v>1801</x:v>
      </x:c>
      <x:c r="H8" s="15" t="n">
        <x:v>1825</x:v>
      </x:c>
      <x:c r="I8" s="15" t="n">
        <x:f>IF(OR(G8="",H8=""),"",H8-G8+1)</x:f>
        <x:v>25</x:v>
      </x:c>
      <x:c r="J8" s="15" t="str">
        <x:v>1801–1825</x:v>
      </x:c>
      <x:c r="K8" s="15" t="str">
        <x:v>Россия и сопредельные территории</x:v>
      </x:c>
      <x:c r="L8" s="15" t="str">
        <x:v>персонажи соответствующей исторической эпохи</x:v>
      </x:c>
      <x:c r="M8" s="15" t="str">
        <x:v>книжный макропласт</x:v>
      </x:c>
      <x:c r="N8" s="15" t="str">
        <x:v>Средняя</x:v>
      </x:c>
      <x:c r="O8" s="15" t="str">
        <x:v>Макродиапазон; требуется разбивка на повести и рассказы</x:v>
      </x:c>
      <x:c r="P8" s="15" t="str">
        <x:v>Беллетристическое сопровождение исторического тома: первая четверть XIX века.</x:v>
      </x:c>
      <x:c r="Q8" s="15" t="str">
        <x:v>https://babook.org/store/series/12</x:v>
      </x:c>
      <x:c r="R8" s="15" t="str"/>
      <x:c r="S8" s="15" t="str">
        <x:v>В v0.2 книга будет разложена на отдельные сюжеты.</x:v>
      </x:c>
      <x:c r="T8" s="15" t="str">
        <x:v>война 1812 года, усадьба, офицеры</x:v>
      </x:c>
      <x:c r="U8" s="15" t="str">
        <x:v>основной</x:v>
      </x:c>
    </x:row>
    <x:row r="9">
      <x:c r="A9" s="15" t="str">
        <x:v>irg-fiction-8</x:v>
      </x:c>
      <x:c r="B9" s="15" t="str">
        <x:v>Борис Акунин</x:v>
      </x:c>
      <x:c r="C9" s="15" t="str">
        <x:v>История государства: беллетристика</x:v>
      </x:c>
      <x:c r="D9" s="15" t="str">
        <x:v>Дорога в Китеж</x:v>
      </x:c>
      <x:c r="E9" s="15" t="str">
        <x:v>Дорога в Китеж</x:v>
      </x:c>
      <x:c r="F9" s="15" t="str">
        <x:v>сборник / роман</x:v>
      </x:c>
      <x:c r="G9" s="15" t="n">
        <x:v>1855</x:v>
      </x:c>
      <x:c r="H9" s="15" t="n">
        <x:v>1894</x:v>
      </x:c>
      <x:c r="I9" s="15" t="n">
        <x:f>IF(OR(G9="",H9=""),"",H9-G9+1)</x:f>
        <x:v>40</x:v>
      </x:c>
      <x:c r="J9" s="15" t="str">
        <x:v>1855–1894</x:v>
      </x:c>
      <x:c r="K9" s="15" t="str">
        <x:v>Россия и сопредельные территории</x:v>
      </x:c>
      <x:c r="L9" s="15" t="str">
        <x:v>персонажи соответствующей исторической эпохи</x:v>
      </x:c>
      <x:c r="M9" s="15" t="str">
        <x:v>книжный макропласт</x:v>
      </x:c>
      <x:c r="N9" s="15" t="str">
        <x:v>Средняя</x:v>
      </x:c>
      <x:c r="O9" s="15" t="str">
        <x:v>Макродиапазон; требуется разбивка на повести и рассказы</x:v>
      </x:c>
      <x:c r="P9" s="15" t="str">
        <x:v>Беллетристическое сопровождение исторического тома: эпоха реформ Александра II и Александра III.</x:v>
      </x:c>
      <x:c r="Q9" s="15" t="str">
        <x:v>https://babook.org/store/series/12</x:v>
      </x:c>
      <x:c r="R9" s="15" t="str"/>
      <x:c r="S9" s="15" t="str">
        <x:v>В v0.2 книга будет разложена на отдельные сюжеты.</x:v>
      </x:c>
      <x:c r="T9" s="15" t="str">
        <x:v>железная дорога, Китеж, реформы</x:v>
      </x:c>
      <x:c r="U9" s="15" t="str">
        <x:v>основной</x:v>
      </x:c>
    </x:row>
    <x:row r="10">
      <x:c r="A10" s="15" t="str">
        <x:v>irg-fiction-9</x:v>
      </x:c>
      <x:c r="B10" s="15" t="str">
        <x:v>Борис Акунин</x:v>
      </x:c>
      <x:c r="C10" s="15" t="str">
        <x:v>История государства: беллетристика</x:v>
      </x:c>
      <x:c r="D10" s="15" t="str">
        <x:v>Он уходя спросил</x:v>
      </x:c>
      <x:c r="E10" s="15" t="str">
        <x:v>Он уходя спросил</x:v>
      </x:c>
      <x:c r="F10" s="15" t="str">
        <x:v>сборник / роман</x:v>
      </x:c>
      <x:c r="G10" s="15" t="n">
        <x:v>1894</x:v>
      </x:c>
      <x:c r="H10" s="15" t="n">
        <x:v>1918</x:v>
      </x:c>
      <x:c r="I10" s="15" t="n">
        <x:f>IF(OR(G10="",H10=""),"",H10-G10+1)</x:f>
        <x:v>25</x:v>
      </x:c>
      <x:c r="J10" s="15" t="str">
        <x:v>1894–1918</x:v>
      </x:c>
      <x:c r="K10" s="15" t="str">
        <x:v>Россия и сопредельные территории</x:v>
      </x:c>
      <x:c r="L10" s="15" t="str">
        <x:v>персонажи соответствующей исторической эпохи</x:v>
      </x:c>
      <x:c r="M10" s="15" t="str">
        <x:v>книжный макропласт</x:v>
      </x:c>
      <x:c r="N10" s="15" t="str">
        <x:v>Средняя</x:v>
      </x:c>
      <x:c r="O10" s="15" t="str">
        <x:v>Макродиапазон; требуется разбивка на повести и рассказы</x:v>
      </x:c>
      <x:c r="P10" s="15" t="str">
        <x:v>Беллетристическое сопровождение исторического тома: последние десятилетия империи.</x:v>
      </x:c>
      <x:c r="Q10" s="15" t="str">
        <x:v>https://babook.org/store/series/12</x:v>
      </x:c>
      <x:c r="R10" s="15" t="str"/>
      <x:c r="S10" s="15" t="str">
        <x:v>В v0.2 книга будет разложена на отдельные сюжеты.</x:v>
      </x:c>
      <x:c r="T10" s="15" t="str">
        <x:v>революция, прощание, империя</x:v>
      </x:c>
      <x:c r="U10" s="15" t="str">
        <x:v>основной</x:v>
      </x:c>
    </x:row>
    <x:row r="11">
      <x:c r="A11" s="15" t="str">
        <x:v>irg-fiction-10</x:v>
      </x:c>
      <x:c r="B11" s="15" t="str">
        <x:v>Борис Акунин</x:v>
      </x:c>
      <x:c r="C11" s="15" t="str">
        <x:v>История государства: беллетристика</x:v>
      </x:c>
      <x:c r="D11" s="15" t="str">
        <x:v>Москва-Синьцзин</x:v>
      </x:c>
      <x:c r="E11" s="15" t="str">
        <x:v>Москва-Синьцзин</x:v>
      </x:c>
      <x:c r="F11" s="15" t="str">
        <x:v>сборник / роман</x:v>
      </x:c>
      <x:c r="G11" s="15" t="n">
        <x:v>1938</x:v>
      </x:c>
      <x:c r="H11" s="15" t="n">
        <x:v>1938</x:v>
      </x:c>
      <x:c r="I11" s="15" t="n">
        <x:f>IF(OR(G11="",H11=""),"",H11-G11+1)</x:f>
        <x:v>1</x:v>
      </x:c>
      <x:c r="J11" s="15" t="str">
        <x:v>1938</x:v>
      </x:c>
      <x:c r="K11" s="15" t="str">
        <x:v>Россия и сопредельные территории</x:v>
      </x:c>
      <x:c r="L11" s="15" t="str">
        <x:v>персонажи соответствующей исторической эпохи</x:v>
      </x:c>
      <x:c r="M11" s="15" t="str">
        <x:v>книжный макропласт</x:v>
      </x:c>
      <x:c r="N11" s="15" t="str">
        <x:v>Средняя</x:v>
      </x:c>
      <x:c r="O11" s="15" t="str">
        <x:v>Макродиапазон; требуется разбивка на повести и рассказы</x:v>
      </x:c>
      <x:c r="P11" s="15" t="str">
        <x:v>Беллетристическое сопровождение исторического тома: СССР и Маньчжоу-го.</x:v>
      </x:c>
      <x:c r="Q11" s="15" t="str">
        <x:v>https://babook.org/store/series/12</x:v>
      </x:c>
      <x:c r="R11" s="15" t="str"/>
      <x:c r="S11" s="15" t="str">
        <x:v>В v0.2 книга будет разложена на отдельные сюжеты.</x:v>
      </x:c>
      <x:c r="T11" s="15" t="str">
        <x:v>Москва, Синьцзин, меченый род</x:v>
      </x:c>
      <x:c r="U11" s="15" t="str">
        <x:v>основной</x:v>
      </x:c>
    </x:row>
    <x:row r="12">
      <x:c r="A12" s="15" t="str">
        <x:v>brus-spas</x:v>
      </x:c>
      <x:c r="B12" s="15" t="str">
        <x:v>Анатолий Брусникин</x:v>
      </x:c>
      <x:c r="C12" s="15" t="str">
        <x:v>Проект «Авторы»: Брусникин</x:v>
      </x:c>
      <x:c r="D12" s="15" t="str">
        <x:v>Девятный Спас</x:v>
      </x:c>
      <x:c r="E12" s="15" t="str">
        <x:v>Девятный Спас</x:v>
      </x:c>
      <x:c r="F12" s="15" t="str">
        <x:v>роман</x:v>
      </x:c>
      <x:c r="G12" s="15" t="n">
        <x:v>1682</x:v>
      </x:c>
      <x:c r="H12" s="15" t="n">
        <x:v>1725</x:v>
      </x:c>
      <x:c r="I12" s="15" t="n">
        <x:f>IF(OR(G12="",H12=""),"",H12-G12+1)</x:f>
        <x:v>44</x:v>
      </x:c>
      <x:c r="J12" s="15" t="str">
        <x:v>1682–1725</x:v>
      </x:c>
      <x:c r="K12" s="15" t="str">
        <x:v>петровская эпоха</x:v>
      </x:c>
      <x:c r="L12" s="15" t="str">
        <x:v>исторические и вымышленные персонажи</x:v>
      </x:c>
      <x:c r="M12" s="15" t="str">
        <x:v>исторический роман</x:v>
      </x:c>
      <x:c r="N12" s="15" t="str">
        <x:v>Высокая</x:v>
      </x:c>
      <x:c r="O12" s="15" t="str">
        <x:v>Эпоха подтверждена официальным описанием</x:v>
      </x:c>
      <x:c r="P12" s="15" t="str">
        <x:v>Официальный каталог описывает произведение как роман об эпохе: петровская эпоха.</x:v>
      </x:c>
      <x:c r="Q12" s="15" t="str">
        <x:v>https://babook.org/store/series/11</x:v>
      </x:c>
      <x:c r="R12" s="15" t="str"/>
      <x:c r="S12" s="15" t="str"/>
      <x:c r="T12" s="15" t="str">
        <x:v>икона, Москва, Пётр I</x:v>
      </x:c>
      <x:c r="U12" s="15" t="str">
        <x:v>псевдоним</x:v>
      </x:c>
    </x:row>
    <x:row r="13">
      <x:c r="A13" s="15" t="str">
        <x:v>brus-hero</x:v>
      </x:c>
      <x:c r="B13" s="15" t="str">
        <x:v>Анатолий Брусникин</x:v>
      </x:c>
      <x:c r="C13" s="15" t="str">
        <x:v>Проект «Авторы»: Брусникин</x:v>
      </x:c>
      <x:c r="D13" s="15" t="str">
        <x:v>Герой иного времени</x:v>
      </x:c>
      <x:c r="E13" s="15" t="str">
        <x:v>Герой иного времени</x:v>
      </x:c>
      <x:c r="F13" s="15" t="str">
        <x:v>роман</x:v>
      </x:c>
      <x:c r="G13" s="15" t="n">
        <x:v>1840</x:v>
      </x:c>
      <x:c r="H13" s="15" t="n">
        <x:v>1845</x:v>
      </x:c>
      <x:c r="I13" s="15" t="n">
        <x:f>IF(OR(G13="",H13=""),"",H13-G13+1)</x:f>
        <x:v>6</x:v>
      </x:c>
      <x:c r="J13" s="15" t="str">
        <x:v>1840–1845</x:v>
      </x:c>
      <x:c r="K13" s="15" t="str">
        <x:v>Кавказская война</x:v>
      </x:c>
      <x:c r="L13" s="15" t="str">
        <x:v>исторические и вымышленные персонажи</x:v>
      </x:c>
      <x:c r="M13" s="15" t="str">
        <x:v>исторический роман</x:v>
      </x:c>
      <x:c r="N13" s="15" t="str">
        <x:v>Высокая</x:v>
      </x:c>
      <x:c r="O13" s="15" t="str">
        <x:v>Эпоха подтверждена официальным описанием</x:v>
      </x:c>
      <x:c r="P13" s="15" t="str">
        <x:v>Официальный каталог описывает произведение как роман об эпохе: Кавказская война.</x:v>
      </x:c>
      <x:c r="Q13" s="15" t="str">
        <x:v>https://babook.org/store/series/11</x:v>
      </x:c>
      <x:c r="R13" s="15" t="str"/>
      <x:c r="S13" s="15" t="str"/>
      <x:c r="T13" s="15" t="str">
        <x:v>Кавказ, офицер, крепость</x:v>
      </x:c>
      <x:c r="U13" s="15" t="str">
        <x:v>псевдоним</x:v>
      </x:c>
    </x:row>
    <x:row r="14">
      <x:c r="A14" s="15" t="str">
        <x:v>brus-bellona</x:v>
      </x:c>
      <x:c r="B14" s="15" t="str">
        <x:v>Анатолий Брусникин</x:v>
      </x:c>
      <x:c r="C14" s="15" t="str">
        <x:v>Проект «Авторы»: Брусникин</x:v>
      </x:c>
      <x:c r="D14" s="15" t="str">
        <x:v>Беллона</x:v>
      </x:c>
      <x:c r="E14" s="15" t="str">
        <x:v>Беллона</x:v>
      </x:c>
      <x:c r="F14" s="15" t="str">
        <x:v>роман</x:v>
      </x:c>
      <x:c r="G14" s="15" t="n">
        <x:v>1853</x:v>
      </x:c>
      <x:c r="H14" s="15" t="n">
        <x:v>1856</x:v>
      </x:c>
      <x:c r="I14" s="15" t="n">
        <x:f>IF(OR(G14="",H14=""),"",H14-G14+1)</x:f>
        <x:v>4</x:v>
      </x:c>
      <x:c r="J14" s="15" t="str">
        <x:v>1853–1856</x:v>
      </x:c>
      <x:c r="K14" s="15" t="str">
        <x:v>Крымская война</x:v>
      </x:c>
      <x:c r="L14" s="15" t="str">
        <x:v>исторические и вымышленные персонажи</x:v>
      </x:c>
      <x:c r="M14" s="15" t="str">
        <x:v>исторический роман</x:v>
      </x:c>
      <x:c r="N14" s="15" t="str">
        <x:v>Высокая</x:v>
      </x:c>
      <x:c r="O14" s="15" t="str">
        <x:v>Эпоха подтверждена официальным описанием</x:v>
      </x:c>
      <x:c r="P14" s="15" t="str">
        <x:v>Официальный каталог описывает произведение как роман об эпохе: Крымская война.</x:v>
      </x:c>
      <x:c r="Q14" s="15" t="str">
        <x:v>https://babook.org/store/series/11</x:v>
      </x:c>
      <x:c r="R14" s="15" t="str"/>
      <x:c r="S14" s="15" t="str"/>
      <x:c r="T14" s="15" t="str">
        <x:v>Севастополь, батарея, море</x:v>
      </x:c>
      <x:c r="U14" s="15" t="str">
        <x:v>псевдоним</x:v>
      </x:c>
    </x:row>
    <x:row r="15">
      <x:c r="A15" s="15" t="str">
        <x:v>mag-altyn-h</x:v>
      </x:c>
      <x:c r="B15" s="15" t="str">
        <x:v>Борис Акунин</x:v>
      </x:c>
      <x:c r="C15" s="15" t="str">
        <x:v>Приключения магистра</x:v>
      </x:c>
      <x:c r="D15" s="15" t="str">
        <x:v>Алтын-толобас — Корнелиус фон Дорн</x:v>
      </x:c>
      <x:c r="E15" s="15" t="str">
        <x:v>Алтын-толобас</x:v>
      </x:c>
      <x:c r="F15" s="15" t="str">
        <x:v>роман</x:v>
      </x:c>
      <x:c r="G15" s="15" t="n">
        <x:v>1675</x:v>
      </x:c>
      <x:c r="H15" s="15" t="n">
        <x:v>1676</x:v>
      </x:c>
      <x:c r="I15" s="15" t="n">
        <x:f>IF(OR(G15="",H15=""),"",H15-G15+1)</x:f>
        <x:v>2</x:v>
      </x:c>
      <x:c r="J15" s="15" t="str">
        <x:v>1675–1676</x:v>
      </x:c>
      <x:c r="K15" s="15" t="str">
        <x:v>Москва, Рига</x:v>
      </x:c>
      <x:c r="L15" s="15" t="str">
        <x:v>Корнелиус фон Дорн</x:v>
      </x:c>
      <x:c r="M15" s="15" t="str">
        <x:v>историческая линия</x:v>
      </x:c>
      <x:c r="N15" s="15" t="str">
        <x:v>Высокая</x:v>
      </x:c>
      <x:c r="O15" s="15" t="str">
        <x:v>Годовой уровень; требуется уточнение месяцев</x:v>
      </x:c>
      <x:c r="P15" s="15" t="str">
        <x:v>Каждый роман серии официально описан как два романа в одном — современный и исторический.</x:v>
      </x:c>
      <x:c r="Q15" s="15" t="str">
        <x:v>https://babook.org/store/series/8</x:v>
      </x:c>
      <x:c r="R15" s="15" t="str"/>
      <x:c r="S15" s="15" t="str"/>
      <x:c r="T15" s="15" t="str">
        <x:v>рукопись, архив, род Фандориных</x:v>
      </x:c>
      <x:c r="U15" s="15" t="str">
        <x:v>основной</x:v>
      </x:c>
    </x:row>
    <x:row r="16">
      <x:c r="A16" s="15" t="str">
        <x:v>mag-sokol-h</x:v>
      </x:c>
      <x:c r="B16" s="15" t="str">
        <x:v>Борис Акунин</x:v>
      </x:c>
      <x:c r="C16" s="15" t="str">
        <x:v>Приключения магистра</x:v>
      </x:c>
      <x:c r="D16" s="15" t="str">
        <x:v>Сокол и Ласточка — Летиция фон Дорн</x:v>
      </x:c>
      <x:c r="E16" s="15" t="str">
        <x:v>Сокол и Ласточка</x:v>
      </x:c>
      <x:c r="F16" s="15" t="str">
        <x:v>роман</x:v>
      </x:c>
      <x:c r="G16" s="15" t="n">
        <x:v>1702</x:v>
      </x:c>
      <x:c r="H16" s="15" t="n">
        <x:v>1702</x:v>
      </x:c>
      <x:c r="I16" s="15" t="n">
        <x:f>IF(OR(G16="",H16=""),"",H16-G16+1)</x:f>
        <x:v>1</x:v>
      </x:c>
      <x:c r="J16" s="15" t="str">
        <x:v>1702</x:v>
      </x:c>
      <x:c r="K16" s="15" t="str">
        <x:v>Атлантика, Карибское море</x:v>
      </x:c>
      <x:c r="L16" s="15" t="str">
        <x:v>Летиция фон Дорн</x:v>
      </x:c>
      <x:c r="M16" s="15" t="str">
        <x:v>историческая линия</x:v>
      </x:c>
      <x:c r="N16" s="15" t="str">
        <x:v>Высокая</x:v>
      </x:c>
      <x:c r="O16" s="15" t="str">
        <x:v>Годовой уровень; требуется уточнение месяцев</x:v>
      </x:c>
      <x:c r="P16" s="15" t="str">
        <x:v>Каждый роман серии официально описан как два романа в одном — современный и исторический.</x:v>
      </x:c>
      <x:c r="Q16" s="15" t="str">
        <x:v>https://babook.org/store/series/8</x:v>
      </x:c>
      <x:c r="R16" s="15" t="str"/>
      <x:c r="S16" s="15" t="str"/>
      <x:c r="T16" s="15" t="str">
        <x:v>рукопись, архив, род Фандориных</x:v>
      </x:c>
      <x:c r="U16" s="15" t="str">
        <x:v>основной</x:v>
      </x:c>
    </x:row>
    <x:row r="17">
      <x:c r="A17" s="15" t="str">
        <x:v>mag-vneklass-h</x:v>
      </x:c>
      <x:c r="B17" s="15" t="str">
        <x:v>Борис Акунин</x:v>
      </x:c>
      <x:c r="C17" s="15" t="str">
        <x:v>Приключения магистра</x:v>
      </x:c>
      <x:c r="D17" s="15" t="str">
        <x:v>Внеклассное чтение — XVIII век</x:v>
      </x:c>
      <x:c r="E17" s="15" t="str">
        <x:v>Внеклассное чтение</x:v>
      </x:c>
      <x:c r="F17" s="15" t="str">
        <x:v>роман</x:v>
      </x:c>
      <x:c r="G17" s="15" t="n">
        <x:v>1795</x:v>
      </x:c>
      <x:c r="H17" s="15" t="n">
        <x:v>1795</x:v>
      </x:c>
      <x:c r="I17" s="15" t="n">
        <x:f>IF(OR(G17="",H17=""),"",H17-G17+1)</x:f>
        <x:v>1</x:v>
      </x:c>
      <x:c r="J17" s="15" t="str">
        <x:v>1795</x:v>
      </x:c>
      <x:c r="K17" s="15" t="str">
        <x:v>Россия</x:v>
      </x:c>
      <x:c r="L17" s="15" t="str">
        <x:v>Митридат, исторические персонажи</x:v>
      </x:c>
      <x:c r="M17" s="15" t="str">
        <x:v>историческая линия</x:v>
      </x:c>
      <x:c r="N17" s="15" t="str">
        <x:v>Высокая</x:v>
      </x:c>
      <x:c r="O17" s="15" t="str">
        <x:v>Годовой уровень; требуется уточнение месяцев</x:v>
      </x:c>
      <x:c r="P17" s="15" t="str">
        <x:v>Каждый роман серии официально описан как два романа в одном — современный и исторический.</x:v>
      </x:c>
      <x:c r="Q17" s="15" t="str">
        <x:v>https://babook.org/store/series/8</x:v>
      </x:c>
      <x:c r="R17" s="15" t="str"/>
      <x:c r="S17" s="15" t="str"/>
      <x:c r="T17" s="15" t="str">
        <x:v>рукопись, архив, род Фандориных</x:v>
      </x:c>
      <x:c r="U17" s="15" t="str">
        <x:v>основной</x:v>
      </x:c>
    </x:row>
    <x:row r="18">
      <x:c r="A18" s="15" t="str">
        <x:v>mag-fm-h</x:v>
      </x:c>
      <x:c r="B18" s="15" t="str">
        <x:v>Борис Акунин</x:v>
      </x:c>
      <x:c r="C18" s="15" t="str">
        <x:v>Приключения магистра</x:v>
      </x:c>
      <x:c r="D18" s="15" t="str">
        <x:v>Ф. М. — рукопись XIX века</x:v>
      </x:c>
      <x:c r="E18" s="15" t="str">
        <x:v>Ф. М.</x:v>
      </x:c>
      <x:c r="F18" s="15" t="str">
        <x:v>роман</x:v>
      </x:c>
      <x:c r="G18" s="15" t="n">
        <x:v>1865</x:v>
      </x:c>
      <x:c r="H18" s="15" t="n">
        <x:v>1866</x:v>
      </x:c>
      <x:c r="I18" s="15" t="n">
        <x:f>IF(OR(G18="",H18=""),"",H18-G18+1)</x:f>
        <x:v>2</x:v>
      </x:c>
      <x:c r="J18" s="15" t="str">
        <x:v>1865–1866</x:v>
      </x:c>
      <x:c r="K18" s="15" t="str">
        <x:v>Санкт-Петербург</x:v>
      </x:c>
      <x:c r="L18" s="15" t="str">
        <x:v>Фёдор Достоевский и литературные персонажи</x:v>
      </x:c>
      <x:c r="M18" s="15" t="str">
        <x:v>литературно-историческая линия</x:v>
      </x:c>
      <x:c r="N18" s="15" t="str">
        <x:v>Средняя</x:v>
      </x:c>
      <x:c r="O18" s="15" t="str">
        <x:v>Годовой уровень; требуется уточнение месяцев</x:v>
      </x:c>
      <x:c r="P18" s="15" t="str">
        <x:v>Каждый роман серии официально описан как два романа в одном — современный и исторический.</x:v>
      </x:c>
      <x:c r="Q18" s="15" t="str">
        <x:v>https://babook.org/store/series/8</x:v>
      </x:c>
      <x:c r="R18" s="15" t="str"/>
      <x:c r="S18" s="15" t="str"/>
      <x:c r="T18" s="15" t="str">
        <x:v>рукопись, архив, род Фандориных</x:v>
      </x:c>
      <x:c r="U18" s="15" t="str">
        <x:v>основной</x:v>
      </x:c>
    </x:row>
    <x:row r="19">
      <x:c r="A19" s="15" t="str">
        <x:v>mag-altyn-m</x:v>
      </x:c>
      <x:c r="B19" s="15" t="str">
        <x:v>Борис Акунин</x:v>
      </x:c>
      <x:c r="C19" s="15" t="str">
        <x:v>Приключения магистра</x:v>
      </x:c>
      <x:c r="D19" s="15" t="str">
        <x:v>Алтын-толобас — Николас Фандорин</x:v>
      </x:c>
      <x:c r="E19" s="15" t="str">
        <x:v>Алтын-толобас</x:v>
      </x:c>
      <x:c r="F19" s="15" t="str">
        <x:v>роман</x:v>
      </x:c>
      <x:c r="G19" s="15" t="n">
        <x:v>1999</x:v>
      </x:c>
      <x:c r="H19" s="15" t="n">
        <x:v>2000</x:v>
      </x:c>
      <x:c r="I19" s="15" t="n">
        <x:f>IF(OR(G19="",H19=""),"",H19-G19+1)</x:f>
        <x:v>2</x:v>
      </x:c>
      <x:c r="J19" s="15" t="str">
        <x:v>1999–2000</x:v>
      </x:c>
      <x:c r="K19" s="15" t="str">
        <x:v>Москва, Лондон</x:v>
      </x:c>
      <x:c r="L19" s="15" t="str">
        <x:v>Николас Фандорин</x:v>
      </x:c>
      <x:c r="M19" s="15" t="str">
        <x:v>современная линия</x:v>
      </x:c>
      <x:c r="N19" s="15" t="str">
        <x:v>Средняя</x:v>
      </x:c>
      <x:c r="O19" s="15" t="str">
        <x:v>Годовой уровень; требуется уточнение месяцев</x:v>
      </x:c>
      <x:c r="P19" s="15" t="str">
        <x:v>Каждый роман серии официально описан как два романа в одном — современный и исторический.</x:v>
      </x:c>
      <x:c r="Q19" s="15" t="str">
        <x:v>https://babook.org/store/series/8</x:v>
      </x:c>
      <x:c r="R19" s="15" t="str"/>
      <x:c r="S19" s="15" t="str"/>
      <x:c r="T19" s="15" t="str">
        <x:v>рукопись, архив, род Фандориных</x:v>
      </x:c>
      <x:c r="U19" s="15" t="str">
        <x:v>основной</x:v>
      </x:c>
    </x:row>
    <x:row r="20">
      <x:c r="A20" s="15" t="str">
        <x:v>mag-vneklass-m</x:v>
      </x:c>
      <x:c r="B20" s="15" t="str">
        <x:v>Борис Акунин</x:v>
      </x:c>
      <x:c r="C20" s="15" t="str">
        <x:v>Приключения магистра</x:v>
      </x:c>
      <x:c r="D20" s="15" t="str">
        <x:v>Внеклассное чтение — современность</x:v>
      </x:c>
      <x:c r="E20" s="15" t="str">
        <x:v>Внеклассное чтение</x:v>
      </x:c>
      <x:c r="F20" s="15" t="str">
        <x:v>роман</x:v>
      </x:c>
      <x:c r="G20" s="15" t="n">
        <x:v>2001</x:v>
      </x:c>
      <x:c r="H20" s="15" t="n">
        <x:v>2001</x:v>
      </x:c>
      <x:c r="I20" s="15" t="n">
        <x:f>IF(OR(G20="",H20=""),"",H20-G20+1)</x:f>
        <x:v>1</x:v>
      </x:c>
      <x:c r="J20" s="15" t="str">
        <x:v>2001</x:v>
      </x:c>
      <x:c r="K20" s="15" t="str">
        <x:v>Москва</x:v>
      </x:c>
      <x:c r="L20" s="15" t="str">
        <x:v>Николас Фандорин</x:v>
      </x:c>
      <x:c r="M20" s="15" t="str">
        <x:v>современная линия</x:v>
      </x:c>
      <x:c r="N20" s="15" t="str">
        <x:v>Средняя</x:v>
      </x:c>
      <x:c r="O20" s="15" t="str">
        <x:v>Годовой уровень; требуется уточнение месяцев</x:v>
      </x:c>
      <x:c r="P20" s="15" t="str">
        <x:v>Каждый роман серии официально описан как два романа в одном — современный и исторический.</x:v>
      </x:c>
      <x:c r="Q20" s="15" t="str">
        <x:v>https://babook.org/store/series/8</x:v>
      </x:c>
      <x:c r="R20" s="15" t="str"/>
      <x:c r="S20" s="15" t="str"/>
      <x:c r="T20" s="15" t="str">
        <x:v>рукопись, архив, род Фандориных</x:v>
      </x:c>
      <x:c r="U20" s="15" t="str">
        <x:v>основной</x:v>
      </x:c>
    </x:row>
    <x:row r="21">
      <x:c r="A21" s="15" t="str">
        <x:v>mag-fm-m</x:v>
      </x:c>
      <x:c r="B21" s="15" t="str">
        <x:v>Борис Акунин</x:v>
      </x:c>
      <x:c r="C21" s="15" t="str">
        <x:v>Приключения магистра</x:v>
      </x:c>
      <x:c r="D21" s="15" t="str">
        <x:v>Ф. М. — современность</x:v>
      </x:c>
      <x:c r="E21" s="15" t="str">
        <x:v>Ф. М.</x:v>
      </x:c>
      <x:c r="F21" s="15" t="str">
        <x:v>роман</x:v>
      </x:c>
      <x:c r="G21" s="15" t="n">
        <x:v>2006</x:v>
      </x:c>
      <x:c r="H21" s="15" t="n">
        <x:v>2006</x:v>
      </x:c>
      <x:c r="I21" s="15" t="n">
        <x:f>IF(OR(G21="",H21=""),"",H21-G21+1)</x:f>
        <x:v>1</x:v>
      </x:c>
      <x:c r="J21" s="15" t="str">
        <x:v>2006</x:v>
      </x:c>
      <x:c r="K21" s="15" t="str">
        <x:v>Москва</x:v>
      </x:c>
      <x:c r="L21" s="15" t="str">
        <x:v>Николас Фандорин</x:v>
      </x:c>
      <x:c r="M21" s="15" t="str">
        <x:v>современная линия</x:v>
      </x:c>
      <x:c r="N21" s="15" t="str">
        <x:v>Высокая</x:v>
      </x:c>
      <x:c r="O21" s="15" t="str">
        <x:v>Годовой уровень; требуется уточнение месяцев</x:v>
      </x:c>
      <x:c r="P21" s="15" t="str">
        <x:v>Каждый роман серии официально описан как два романа в одном — современный и исторический.</x:v>
      </x:c>
      <x:c r="Q21" s="15" t="str">
        <x:v>https://babook.org/store/series/8</x:v>
      </x:c>
      <x:c r="R21" s="15" t="str"/>
      <x:c r="S21" s="15" t="str"/>
      <x:c r="T21" s="15" t="str">
        <x:v>рукопись, архив, род Фандориных</x:v>
      </x:c>
      <x:c r="U21" s="15" t="str">
        <x:v>основной</x:v>
      </x:c>
    </x:row>
    <x:row r="22">
      <x:c r="A22" s="15" t="str">
        <x:v>mag-sokol-m</x:v>
      </x:c>
      <x:c r="B22" s="15" t="str">
        <x:v>Борис Акунин</x:v>
      </x:c>
      <x:c r="C22" s="15" t="str">
        <x:v>Приключения магистра</x:v>
      </x:c>
      <x:c r="D22" s="15" t="str">
        <x:v>Сокол и Ласточка — Николас Фандорин</x:v>
      </x:c>
      <x:c r="E22" s="15" t="str">
        <x:v>Сокол и Ласточка</x:v>
      </x:c>
      <x:c r="F22" s="15" t="str">
        <x:v>роман</x:v>
      </x:c>
      <x:c r="G22" s="15" t="n">
        <x:v>2009</x:v>
      </x:c>
      <x:c r="H22" s="15" t="n">
        <x:v>2009</x:v>
      </x:c>
      <x:c r="I22" s="15" t="n">
        <x:f>IF(OR(G22="",H22=""),"",H22-G22+1)</x:f>
        <x:v>1</x:v>
      </x:c>
      <x:c r="J22" s="15" t="str">
        <x:v>2009</x:v>
      </x:c>
      <x:c r="K22" s="15" t="str">
        <x:v>Европа, Атлантика</x:v>
      </x:c>
      <x:c r="L22" s="15" t="str">
        <x:v>Николас Фандорин</x:v>
      </x:c>
      <x:c r="M22" s="15" t="str">
        <x:v>современная линия</x:v>
      </x:c>
      <x:c r="N22" s="15" t="str">
        <x:v>Высокая</x:v>
      </x:c>
      <x:c r="O22" s="15" t="str">
        <x:v>Годовой уровень; требуется уточнение месяцев</x:v>
      </x:c>
      <x:c r="P22" s="15" t="str">
        <x:v>Каждый роман серии официально описан как два романа в одном — современный и исторический.</x:v>
      </x:c>
      <x:c r="Q22" s="15" t="str">
        <x:v>https://babook.org/store/series/8</x:v>
      </x:c>
      <x:c r="R22" s="15" t="str"/>
      <x:c r="S22" s="15" t="str"/>
      <x:c r="T22" s="15" t="str">
        <x:v>рукопись, архив, род Фандориных</x:v>
      </x:c>
      <x:c r="U22" s="15" t="str">
        <x:v>основной</x:v>
      </x:c>
    </x:row>
    <x:row r="23">
      <x:c r="A23" s="15" t="str">
        <x:v>fandorin-azazel</x:v>
      </x:c>
      <x:c r="B23" s="15" t="str">
        <x:v>Борис Акунин</x:v>
      </x:c>
      <x:c r="C23" s="15" t="str">
        <x:v>Эраст Фандорин</x:v>
      </x:c>
      <x:c r="D23" s="15" t="str">
        <x:v>Азазель</x:v>
      </x:c>
      <x:c r="E23" s="15" t="str">
        <x:v>Азазель</x:v>
      </x:c>
      <x:c r="F23" s="15" t="str">
        <x:v>роман</x:v>
      </x:c>
      <x:c r="G23" s="15" t="n">
        <x:v>1876</x:v>
      </x:c>
      <x:c r="H23" s="15" t="n">
        <x:v>1876</x:v>
      </x:c>
      <x:c r="I23" s="15" t="n">
        <x:f>IF(OR(G23="",H23=""),"",H23-G23+1)</x:f>
        <x:v>1</x:v>
      </x:c>
      <x:c r="J23" s="15" t="str">
        <x:v>с 13 мая 1876</x:v>
      </x:c>
      <x:c r="K23" s="15" t="str">
        <x:v>Москва, Санкт-Петербург, Лондон</x:v>
      </x:c>
      <x:c r="L23" s="15" t="str">
        <x:v>Эраст Фандорин, Бриллинг, леди Эстер</x:v>
      </x:c>
      <x:c r="M23" s="15" t="str">
        <x:v>основное действие</x:v>
      </x:c>
      <x:c r="N23" s="15" t="str">
        <x:v>Высокая</x:v>
      </x:c>
      <x:c r="O23" s="15" t="str">
        <x:v>Проверено по авторскому тексту</x:v>
      </x:c>
      <x:c r="P23" s="15" t="str">
        <x:v>В первой главе дело датировано 13 мая 1876 года; год также указан в официальном каталоге.</x:v>
      </x:c>
      <x:c r="Q23" s="15" t="str">
        <x:v>https://www.akunin.ru/knigi/fandorin/erast/azazel/glava1/</x:v>
      </x:c>
      <x:c r="R23" s="15" t="str">
        <x:v>https://www.akunin.ru/knigi/fandorin/erast/</x:v>
      </x:c>
      <x:c r="S23" s="15" t="str">
        <x:v>Начало биографии Фандорина; финал его юности.</x:v>
      </x:c>
      <x:c r="T23" s="15" t="str">
        <x:v>московский бульвар, корсет, телеграф, белая камелия</x:v>
      </x:c>
      <x:c r="U23" s="15" t="str">
        <x:v>основной</x:v>
      </x:c>
    </x:row>
    <x:row r="24">
      <x:c r="A24" s="15" t="str">
        <x:v>fandorin-dao-1</x:v>
      </x:c>
      <x:c r="B24" s="15" t="str">
        <x:v>Борис Акунин</x:v>
      </x:c>
      <x:c r="C24" s="15" t="str">
        <x:v>Эраст Фандорин</x:v>
      </x:c>
      <x:c r="D24" s="15" t="str">
        <x:v>Дао Эраста Фандорина — I</x:v>
      </x:c>
      <x:c r="E24" s="15" t="str">
        <x:v>Дао Эраста Фандорина</x:v>
      </x:c>
      <x:c r="F24" s="15" t="str">
        <x:v>миниатюра</x:v>
      </x:c>
      <x:c r="G24" s="15" t="n">
        <x:v>1876</x:v>
      </x:c>
      <x:c r="H24" s="15" t="n">
        <x:v>1876</x:v>
      </x:c>
      <x:c r="I24" s="15" t="n">
        <x:f>IF(OR(G24="",H24=""),"",H24-G24+1)</x:f>
        <x:v>1</x:v>
      </x:c>
      <x:c r="J24" s="15" t="str">
        <x:v>8 января 1876</x:v>
      </x:c>
      <x:c r="K24" s="15" t="str">
        <x:v>Россия</x:v>
      </x:c>
      <x:c r="L24" s="15" t="str">
        <x:v>Эраст Фандорин</x:v>
      </x:c>
      <x:c r="M24" s="15" t="str">
        <x:v>биографическая миниатюра</x:v>
      </x:c>
      <x:c r="N24" s="15" t="str">
        <x:v>Высокая</x:v>
      </x:c>
      <x:c r="O24" s="15" t="str">
        <x:v>Проверено по авторскому тексту</x:v>
      </x:c>
      <x:c r="P24" s="15" t="str">
        <x:v>Дата прямо указана в авторской публикации.</x:v>
      </x:c>
      <x:c r="Q24" s="15" t="str">
        <x:v>https://babook.org/posts/235</x:v>
      </x:c>
      <x:c r="R24" s="15" t="str"/>
      <x:c r="S24" s="15" t="str">
        <x:v>Фандорину исполняется 20 лет; первая редакция жизненного кодекса.</x:v>
      </x:c>
      <x:c r="T24" s="15" t="str">
        <x:v>тетрадь, каллиграфия, зимнее окно</x:v>
      </x:c>
      <x:c r="U24" s="15" t="str">
        <x:v>основной</x:v>
      </x:c>
    </x:row>
    <x:row r="25">
      <x:c r="A25" s="15" t="str">
        <x:v>fandorin-turkish-gambit</x:v>
      </x:c>
      <x:c r="B25" s="15" t="str">
        <x:v>Борис Акунин</x:v>
      </x:c>
      <x:c r="C25" s="15" t="str">
        <x:v>Эраст Фандорин</x:v>
      </x:c>
      <x:c r="D25" s="15" t="str">
        <x:v>Турецкий гамбит</x:v>
      </x:c>
      <x:c r="E25" s="15" t="str">
        <x:v>Турецкий гамбит</x:v>
      </x:c>
      <x:c r="F25" s="15" t="str">
        <x:v>роман</x:v>
      </x:c>
      <x:c r="G25" s="15" t="n">
        <x:v>1877</x:v>
      </x:c>
      <x:c r="H25" s="15" t="n">
        <x:v>1877</x:v>
      </x:c>
      <x:c r="I25" s="15" t="n">
        <x:f>IF(OR(G25="",H25=""),"",H25-G25+1)</x:f>
        <x:v>1</x:v>
      </x:c>
      <x:c r="J25" s="15" t="str">
        <x:v>1877</x:v>
      </x:c>
      <x:c r="K25" s="15" t="str">
        <x:v>Балканы, Болгария</x:v>
      </x:c>
      <x:c r="L25" s="15" t="str">
        <x:v>Эраст Фандорин, Варвара Суворова</x:v>
      </x:c>
      <x:c r="M25" s="15" t="str">
        <x:v>основное действие</x:v>
      </x:c>
      <x:c r="N25" s="15" t="str">
        <x:v>Высокая</x:v>
      </x:c>
      <x:c r="O25" s="15" t="str">
        <x:v>Год проверен; нужны месяцы</x:v>
      </x:c>
      <x:c r="P25" s="15" t="str">
        <x:v>Год указан в официальном каталоге цикла.</x:v>
      </x:c>
      <x:c r="Q25" s="15" t="str">
        <x:v>https://www.akunin.ru/knigi/fandorin/erast/</x:v>
      </x:c>
      <x:c r="R25" s="15" t="str"/>
      <x:c r="S25" s="15" t="str">
        <x:v>Русско-турецкая война и разведывательная интрига.</x:v>
      </x:c>
      <x:c r="T25" s="15" t="str">
        <x:v>военная карта, телеграф, походная палатка</x:v>
      </x:c>
      <x:c r="U25" s="15" t="str">
        <x:v>основной</x:v>
      </x:c>
    </x:row>
    <x:row r="26">
      <x:c r="A26" s="15" t="str">
        <x:v>fandorin-diamond-1878</x:v>
      </x:c>
      <x:c r="B26" s="15" t="str">
        <x:v>Борис Акунин</x:v>
      </x:c>
      <x:c r="C26" s="15" t="str">
        <x:v>Эраст Фандорин</x:v>
      </x:c>
      <x:c r="D26" s="15" t="str">
        <x:v>Алмазная колесница — японская линия</x:v>
      </x:c>
      <x:c r="E26" s="15" t="str">
        <x:v>Алмазная колесница</x:v>
      </x:c>
      <x:c r="F26" s="15" t="str">
        <x:v>роман, временной пласт</x:v>
      </x:c>
      <x:c r="G26" s="15" t="n">
        <x:v>1878</x:v>
      </x:c>
      <x:c r="H26" s="15" t="n">
        <x:v>1878</x:v>
      </x:c>
      <x:c r="I26" s="15" t="n">
        <x:f>IF(OR(G26="",H26=""),"",H26-G26+1)</x:f>
        <x:v>1</x:v>
      </x:c>
      <x:c r="J26" s="15" t="str">
        <x:v>1878</x:v>
      </x:c>
      <x:c r="K26" s="15" t="str">
        <x:v>Иокогама, Япония</x:v>
      </x:c>
      <x:c r="L26" s="15" t="str">
        <x:v>Эраст Фандорин, Маса, О-Юми, Тамба</x:v>
      </x:c>
      <x:c r="M26" s="15" t="str">
        <x:v>ретроспективная основная линия</x:v>
      </x:c>
      <x:c r="N26" s="15" t="str">
        <x:v>Высокая</x:v>
      </x:c>
      <x:c r="O26" s="15" t="str">
        <x:v>Год проверен; нужны месяцы</x:v>
      </x:c>
      <x:c r="P26" s="15" t="str">
        <x:v>Второй крупный пласт романа отнесён к 1878 году.</x:v>
      </x:c>
      <x:c r="Q26" s="15" t="str">
        <x:v>https://babook.org/drupal/sites/default/files/2025-03/AlmaznayaKolesnicaNew1.pdf</x:v>
      </x:c>
      <x:c r="R26" s="15" t="str">
        <x:v>https://en.wikipedia.org/wiki/Boris_Akunin</x:v>
      </x:c>
      <x:c r="S26" s="15" t="str">
        <x:v>Знакомство с Масой и история О-Юми.</x:v>
      </x:c>
      <x:c r="T26" s="15" t="str">
        <x:v>веер, пагода, ниндзя, японский сад</x:v>
      </x:c>
      <x:c r="U26" s="15" t="str">
        <x:v>основной</x:v>
      </x:c>
    </x:row>
    <x:row r="27">
      <x:c r="A27" s="15" t="str">
        <x:v>fandorin-leviathan</x:v>
      </x:c>
      <x:c r="B27" s="15" t="str">
        <x:v>Борис Акунин</x:v>
      </x:c>
      <x:c r="C27" s="15" t="str">
        <x:v>Эраст Фандорин</x:v>
      </x:c>
      <x:c r="D27" s="15" t="str">
        <x:v>Левиафан</x:v>
      </x:c>
      <x:c r="E27" s="15" t="str">
        <x:v>Левиафан</x:v>
      </x:c>
      <x:c r="F27" s="15" t="str">
        <x:v>роман</x:v>
      </x:c>
      <x:c r="G27" s="15" t="n">
        <x:v>1878</x:v>
      </x:c>
      <x:c r="H27" s="15" t="n">
        <x:v>1878</x:v>
      </x:c>
      <x:c r="I27" s="15" t="n">
        <x:f>IF(OR(G27="",H27=""),"",H27-G27+1)</x:f>
        <x:v>1</x:v>
      </x:c>
      <x:c r="J27" s="15" t="str">
        <x:v>1878</x:v>
      </x:c>
      <x:c r="K27" s="15" t="str">
        <x:v>Париж, Средиземное море, Индийский океан</x:v>
      </x:c>
      <x:c r="L27" s="15" t="str">
        <x:v>Эраст Фандорин, пассажиры «Левиафана»</x:v>
      </x:c>
      <x:c r="M27" s="15" t="str">
        <x:v>основное действие</x:v>
      </x:c>
      <x:c r="N27" s="15" t="str">
        <x:v>Высокая</x:v>
      </x:c>
      <x:c r="O27" s="15" t="str">
        <x:v>Год проверен; нужны даты рейса</x:v>
      </x:c>
      <x:c r="P27" s="15" t="str">
        <x:v>Год указан в официальном каталоге и в новом авторском издании.</x:v>
      </x:c>
      <x:c r="Q27" s="15" t="str">
        <x:v>https://www.akunin.ru/knigi/fandorin/erast/</x:v>
      </x:c>
      <x:c r="R27" s="15" t="str">
        <x:v>https://babook.org/drupal/sites/default/files/2024-11/LeviafanNew1.pdf</x:v>
      </x:c>
      <x:c r="S27" s="15" t="str">
        <x:v>Герметичный детектив на океанском пароходе.</x:v>
      </x:c>
      <x:c r="T27" s="15" t="str">
        <x:v>пароход, салон первого класса, индийский платок</x:v>
      </x:c>
      <x:c r="U27" s="15" t="str">
        <x:v>основной</x:v>
      </x:c>
    </x:row>
    <x:row r="28">
      <x:c r="A28" s="15" t="str">
        <x:v>fandorin-tamba</x:v>
      </x:c>
      <x:c r="B28" s="15" t="str">
        <x:v>Борис Акунин</x:v>
      </x:c>
      <x:c r="C28" s="15" t="str">
        <x:v>Эраст Фандорин</x:v>
      </x:c>
      <x:c r="D28" s="15" t="str">
        <x:v>Уроки Тамбы</x:v>
      </x:c>
      <x:c r="E28" s="15" t="str">
        <x:v>Уроки Тамбы</x:v>
      </x:c>
      <x:c r="F28" s="15" t="str">
        <x:v>повесть-фельетон</x:v>
      </x:c>
      <x:c r="G28" s="15" t="n">
        <x:v>1878</x:v>
      </x:c>
      <x:c r="H28" s="15" t="n">
        <x:v>1878</x:v>
      </x:c>
      <x:c r="I28" s="15" t="n">
        <x:f>IF(OR(G28="",H28=""),"",H28-G28+1)</x:f>
        <x:v>1</x:v>
      </x:c>
      <x:c r="J28" s="15" t="str">
        <x:v>1878</x:v>
      </x:c>
      <x:c r="K28" s="15" t="str">
        <x:v>Япония</x:v>
      </x:c>
      <x:c r="L28" s="15" t="str">
        <x:v>Эраст Фандорин, Тамба</x:v>
      </x:c>
      <x:c r="M28" s="15" t="str">
        <x:v>дневник / спин-офф</x:v>
      </x:c>
      <x:c r="N28" s="15" t="str">
        <x:v>Высокая</x:v>
      </x:c>
      <x:c r="O28" s="15" t="str">
        <x:v>Год проверен; нужны даты дневника</x:v>
      </x:c>
      <x:c r="P28" s="15" t="str">
        <x:v>Автор называет текст спин-оффом «Алмазной колесницы»; подзаголовок — дневник за 1878 год.</x:v>
      </x:c>
      <x:c r="Q28" s="15" t="str">
        <x:v>https://babook.org/posts/273</x:v>
      </x:c>
      <x:c r="R28" s="15" t="str">
        <x:v>https://www.livelib.ru/work/1009163551-uroki-tamby-iz-dnevnika-erasta-fandorina-za-1878-god-boris-akunin</x:v>
      </x:c>
      <x:c r="S28" s="15" t="str">
        <x:v>Серия уроков и коанов в период обучения Фандорина.</x:v>
      </x:c>
      <x:c r="T28" s="15" t="str">
        <x:v>свиток, татами, гора, потайный рукав</x:v>
      </x:c>
      <x:c r="U28" s="15" t="str">
        <x:v>основной</x:v>
      </x:c>
    </x:row>
    <x:row r="29">
      <x:c r="A29" s="15" t="str">
        <x:v>fandorin-sigumo</x:v>
      </x:c>
      <x:c r="B29" s="15" t="str">
        <x:v>Борис Акунин</x:v>
      </x:c>
      <x:c r="C29" s="15" t="str">
        <x:v>Эраст Фандорин</x:v>
      </x:c>
      <x:c r="D29" s="15" t="str">
        <x:v>Сигумо</x:v>
      </x:c>
      <x:c r="E29" s="15" t="str">
        <x:v>Нефритовые чётки</x:v>
      </x:c>
      <x:c r="F29" s="15" t="str">
        <x:v>рассказ</x:v>
      </x:c>
      <x:c r="G29" s="15" t="n">
        <x:v>1881</x:v>
      </x:c>
      <x:c r="H29" s="15" t="n">
        <x:v>1881</x:v>
      </x:c>
      <x:c r="I29" s="15" t="n">
        <x:f>IF(OR(G29="",H29=""),"",H29-G29+1)</x:f>
        <x:v>1</x:v>
      </x:c>
      <x:c r="J29" s="15" t="str">
        <x:v>1881</x:v>
      </x:c>
      <x:c r="K29" s="15" t="str">
        <x:v>Иокогама</x:v>
      </x:c>
      <x:c r="L29" s="15" t="str">
        <x:v>Эраст Фандорин, Мэйтан</x:v>
      </x:c>
      <x:c r="M29" s="15" t="str">
        <x:v>основное действие</x:v>
      </x:c>
      <x:c r="N29" s="15" t="str">
        <x:v>Средняя</x:v>
      </x:c>
      <x:c r="O29" s="15" t="str">
        <x:v>Год подтверждён справочным источником; проверить текст</x:v>
      </x:c>
      <x:c r="P29" s="15" t="str">
        <x:v>Датировка и место указаны в описании состава сборника.</x:v>
      </x:c>
      <x:c r="Q29" s="15" t="str">
        <x:v>https://ru.wikipedia.org/wiki/Нефритовые_чётки</x:v>
      </x:c>
      <x:c r="R29" s="15" t="str"/>
      <x:c r="S29" s="15" t="str">
        <x:v>Японское дело времён дипломатической службы.</x:v>
      </x:c>
      <x:c r="T29" s="15" t="str">
        <x:v>паук, монастырь, японское кладбище</x:v>
      </x:c>
      <x:c r="U29" s="15" t="str">
        <x:v>основной</x:v>
      </x:c>
    </x:row>
    <x:row r="30">
      <x:c r="A30" s="15" t="str">
        <x:v>fandorin-table-talk</x:v>
      </x:c>
      <x:c r="B30" s="15" t="str">
        <x:v>Борис Акунин</x:v>
      </x:c>
      <x:c r="C30" s="15" t="str">
        <x:v>Эраст Фандорин</x:v>
      </x:c>
      <x:c r="D30" s="15" t="str">
        <x:v>Table-Talk 1882 года</x:v>
      </x:c>
      <x:c r="E30" s="15" t="str">
        <x:v>Нефритовые чётки</x:v>
      </x:c>
      <x:c r="F30" s="15" t="str">
        <x:v>рассказ</x:v>
      </x:c>
      <x:c r="G30" s="15" t="n">
        <x:v>1882</x:v>
      </x:c>
      <x:c r="H30" s="15" t="n">
        <x:v>1882</x:v>
      </x:c>
      <x:c r="I30" s="15" t="n">
        <x:f>IF(OR(G30="",H30=""),"",H30-G30+1)</x:f>
        <x:v>1</x:v>
      </x:c>
      <x:c r="J30" s="15" t="str">
        <x:v>1882</x:v>
      </x:c>
      <x:c r="K30" s="15" t="str">
        <x:v>Москва</x:v>
      </x:c>
      <x:c r="L30" s="15" t="str">
        <x:v>Эраст Фандорин, Лидия Одинцова</x:v>
      </x:c>
      <x:c r="M30" s="15" t="str">
        <x:v>салонная загадка</x:v>
      </x:c>
      <x:c r="N30" s="15" t="str">
        <x:v>Средняя</x:v>
      </x:c>
      <x:c r="O30" s="15" t="str">
        <x:v>Год подтверждён; проверить положение после «Ахиллеса»</x:v>
      </x:c>
      <x:c r="P30" s="15" t="str">
        <x:v>Датировка указана в названии и описании сборника.</x:v>
      </x:c>
      <x:c r="Q30" s="15" t="str">
        <x:v>https://ru.wikipedia.org/wiki/Нефритовые_чётки</x:v>
      </x:c>
      <x:c r="R30" s="15" t="str"/>
      <x:c r="S30" s="15" t="str">
        <x:v>Происходит вскоре после дела Соболева.</x:v>
      </x:c>
      <x:c r="T30" s="15" t="str">
        <x:v>салон, карточный стол, семейный портрет</x:v>
      </x:c>
      <x:c r="U30" s="15" t="str">
        <x:v>основной</x:v>
      </x:c>
    </x:row>
    <x:row r="31">
      <x:c r="A31" s="15" t="str">
        <x:v>fandorin-yin-yang</x:v>
      </x:c>
      <x:c r="B31" s="15" t="str">
        <x:v>Борис Акунин</x:v>
      </x:c>
      <x:c r="C31" s="15" t="str">
        <x:v>Эраст Фандорин</x:v>
      </x:c>
      <x:c r="D31" s="15" t="str">
        <x:v>Инь и Ян</x:v>
      </x:c>
      <x:c r="E31" s="15" t="str">
        <x:v>Инь и Ян</x:v>
      </x:c>
      <x:c r="F31" s="15" t="str">
        <x:v>пьеса, две версии</x:v>
      </x:c>
      <x:c r="G31" s="15" t="n">
        <x:v>1882</x:v>
      </x:c>
      <x:c r="H31" s="15" t="n">
        <x:v>1882</x:v>
      </x:c>
      <x:c r="I31" s="15" t="n">
        <x:f>IF(OR(G31="",H31=""),"",H31-G31+1)</x:f>
        <x:v>1</x:v>
      </x:c>
      <x:c r="J31" s="15" t="str">
        <x:v>30 августа 1882</x:v>
      </x:c>
      <x:c r="K31" s="15" t="str">
        <x:v>Подмосковная усадьба</x:v>
      </x:c>
      <x:c r="L31" s="15" t="str">
        <x:v>Эраст Фандорин, Маса, наследники Борецкого</x:v>
      </x:c>
      <x:c r="M31" s="15" t="str">
        <x:v>альтернативные версии одного события</x:v>
      </x:c>
      <x:c r="N31" s="15" t="str">
        <x:v>Средняя</x:v>
      </x:c>
      <x:c r="O31" s="15" t="str">
        <x:v>Дата подтверждена текстом в справочных источниках</x:v>
      </x:c>
      <x:c r="P31" s="15" t="str">
        <x:v>В завещании внутри пьесы указано 30 августа 1882 года.</x:v>
      </x:c>
      <x:c r="Q31" s="15" t="str">
        <x:v>https://en.wikipedia.org/wiki/Ying_and_Yan</x:v>
      </x:c>
      <x:c r="R31" s="15" t="str"/>
      <x:c r="S31" s="15" t="str">
        <x:v>Белая и чёрная версии расходятся в причинности и финале.</x:v>
      </x:c>
      <x:c r="T31" s="15" t="str">
        <x:v>чёрно-белый веер, усадьба, лаборатория</x:v>
      </x:c>
      <x:c r="U31" s="15" t="str">
        <x:v>основной</x:v>
      </x:c>
    </x:row>
    <x:row r="32">
      <x:c r="A32" s="15" t="str">
        <x:v>fandorin-achilles</x:v>
      </x:c>
      <x:c r="B32" s="15" t="str">
        <x:v>Борис Акунин</x:v>
      </x:c>
      <x:c r="C32" s="15" t="str">
        <x:v>Эраст Фандорин</x:v>
      </x:c>
      <x:c r="D32" s="15" t="str">
        <x:v>Смерть Ахиллеса</x:v>
      </x:c>
      <x:c r="E32" s="15" t="str">
        <x:v>Смерть Ахиллеса</x:v>
      </x:c>
      <x:c r="F32" s="15" t="str">
        <x:v>роман</x:v>
      </x:c>
      <x:c r="G32" s="15" t="n">
        <x:v>1882</x:v>
      </x:c>
      <x:c r="H32" s="15" t="n">
        <x:v>1882</x:v>
      </x:c>
      <x:c r="I32" s="15" t="n">
        <x:f>IF(OR(G32="",H32=""),"",H32-G32+1)</x:f>
        <x:v>1</x:v>
      </x:c>
      <x:c r="J32" s="15" t="str">
        <x:v>1882</x:v>
      </x:c>
      <x:c r="K32" s="15" t="str">
        <x:v>Москва</x:v>
      </x:c>
      <x:c r="L32" s="15" t="str">
        <x:v>Эраст Фандорин, Маса, Ахимас</x:v>
      </x:c>
      <x:c r="M32" s="15" t="str">
        <x:v>основное действие + биография антагониста</x:v>
      </x:c>
      <x:c r="N32" s="15" t="str">
        <x:v>Высокая</x:v>
      </x:c>
      <x:c r="O32" s="15" t="str">
        <x:v>Год проверен; нужны календарные границы</x:v>
      </x:c>
      <x:c r="P32" s="15" t="str">
        <x:v>Год указан в официальном каталоге и новом авторском издании.</x:v>
      </x:c>
      <x:c r="Q32" s="15" t="str">
        <x:v>https://www.akunin.ru/knigi/fandorin/erast/</x:v>
      </x:c>
      <x:c r="R32" s="15" t="str">
        <x:v>https://babook.org/drupal/sites/default/files/2025-01/SmertAhillesaNew1.pdf</x:v>
      </x:c>
      <x:c r="S32" s="15" t="str">
        <x:v>Возвращение из Японии и противостояние с наёмным убийцей.</x:v>
      </x:c>
      <x:c r="T32" s="15" t="str">
        <x:v>орлянка, белое и чёрное, московская гостиница</x:v>
      </x:c>
      <x:c r="U32" s="15" t="str">
        <x:v>основной</x:v>
      </x:c>
    </x:row>
    <x:row r="33">
      <x:c r="A33" s="15" t="str">
        <x:v>fandorin-splinters</x:v>
      </x:c>
      <x:c r="B33" s="15" t="str">
        <x:v>Борис Акунин</x:v>
      </x:c>
      <x:c r="C33" s="15" t="str">
        <x:v>Эраст Фандорин</x:v>
      </x:c>
      <x:c r="D33" s="15" t="str">
        <x:v>Из жизни щепок</x:v>
      </x:c>
      <x:c r="E33" s="15" t="str">
        <x:v>Нефритовые чётки</x:v>
      </x:c>
      <x:c r="F33" s="15" t="str">
        <x:v>рассказ</x:v>
      </x:c>
      <x:c r="G33" s="15" t="n">
        <x:v>1883</x:v>
      </x:c>
      <x:c r="H33" s="15" t="n">
        <x:v>1883</x:v>
      </x:c>
      <x:c r="I33" s="15" t="n">
        <x:f>IF(OR(G33="",H33=""),"",H33-G33+1)</x:f>
        <x:v>1</x:v>
      </x:c>
      <x:c r="J33" s="15" t="str">
        <x:v>1883</x:v>
      </x:c>
      <x:c r="K33" s="15" t="str">
        <x:v>Москва</x:v>
      </x:c>
      <x:c r="L33" s="15" t="str">
        <x:v>Эраст Фандорин, Маса, служащие железнодорожной компании</x:v>
      </x:c>
      <x:c r="M33" s="15" t="str">
        <x:v>основное действие</x:v>
      </x:c>
      <x:c r="N33" s="15" t="str">
        <x:v>Средняя</x:v>
      </x:c>
      <x:c r="O33" s="15" t="str">
        <x:v>Год подтверждён справочным источником; проверить текст</x:v>
      </x:c>
      <x:c r="P33" s="15" t="str">
        <x:v>Датировка указана в описании состава сборника.</x:v>
      </x:c>
      <x:c r="Q33" s="15" t="str">
        <x:v>https://ru.wikipedia.org/wiki/Нефритовые_чётки</x:v>
      </x:c>
      <x:c r="R33" s="15" t="str"/>
      <x:c r="S33" s="15" t="str">
        <x:v>Фандорин работает под видом студента-железнодорожника.</x:v>
      </x:c>
      <x:c r="T33" s="15" t="str">
        <x:v>контора, чайник, железная дорога</x:v>
      </x:c>
      <x:c r="U33" s="15" t="str">
        <x:v>основной</x:v>
      </x:c>
    </x:row>
    <x:row r="34">
      <x:c r="A34" s="15" t="str">
        <x:v>fandorin-jade-story</x:v>
      </x:c>
      <x:c r="B34" s="15" t="str">
        <x:v>Борис Акунин</x:v>
      </x:c>
      <x:c r="C34" s="15" t="str">
        <x:v>Эраст Фандорин</x:v>
      </x:c>
      <x:c r="D34" s="15" t="str">
        <x:v>Нефритовые чётки</x:v>
      </x:c>
      <x:c r="E34" s="15" t="str">
        <x:v>Нефритовые чётки</x:v>
      </x:c>
      <x:c r="F34" s="15" t="str">
        <x:v>рассказ</x:v>
      </x:c>
      <x:c r="G34" s="15" t="n">
        <x:v>1884</x:v>
      </x:c>
      <x:c r="H34" s="15" t="n">
        <x:v>1884</x:v>
      </x:c>
      <x:c r="I34" s="15" t="n">
        <x:f>IF(OR(G34="",H34=""),"",H34-G34+1)</x:f>
        <x:v>1</x:v>
      </x:c>
      <x:c r="J34" s="15" t="str">
        <x:v>1884</x:v>
      </x:c>
      <x:c r="K34" s="15" t="str">
        <x:v>Москва</x:v>
      </x:c>
      <x:c r="L34" s="15" t="str">
        <x:v>Эраст Фандорин</x:v>
      </x:c>
      <x:c r="M34" s="15" t="str">
        <x:v>основное действие</x:v>
      </x:c>
      <x:c r="N34" s="15" t="str">
        <x:v>Средняя</x:v>
      </x:c>
      <x:c r="O34" s="15" t="str">
        <x:v>Год подтверждён справочным источником; проверить текст</x:v>
      </x:c>
      <x:c r="P34" s="15" t="str">
        <x:v>Датировка указана в описании состава сборника.</x:v>
      </x:c>
      <x:c r="Q34" s="15" t="str">
        <x:v>https://ru.wikipedia.org/wiki/Нефритовые_чётки</x:v>
      </x:c>
      <x:c r="R34" s="15" t="str"/>
      <x:c r="S34" s="15" t="str">
        <x:v>История появления знаменитых чёток.</x:v>
      </x:c>
      <x:c r="T34" s="15" t="str">
        <x:v>нефрит, ювелирная лавка, топор</x:v>
      </x:c>
      <x:c r="U34" s="15" t="str">
        <x:v>основной</x:v>
      </x:c>
    </x:row>
    <x:row r="35">
      <x:c r="A35" s="15" t="str">
        <x:v>fandorin-jack</x:v>
      </x:c>
      <x:c r="B35" s="15" t="str">
        <x:v>Борис Акунин</x:v>
      </x:c>
      <x:c r="C35" s="15" t="str">
        <x:v>Эраст Фандорин</x:v>
      </x:c>
      <x:c r="D35" s="15" t="str">
        <x:v>Пиковый валет</x:v>
      </x:c>
      <x:c r="E35" s="15" t="str">
        <x:v>Особые поручения</x:v>
      </x:c>
      <x:c r="F35" s="15" t="str">
        <x:v>повесть</x:v>
      </x:c>
      <x:c r="G35" s="15" t="n">
        <x:v>1886</x:v>
      </x:c>
      <x:c r="H35" s="15" t="n">
        <x:v>1886</x:v>
      </x:c>
      <x:c r="I35" s="15" t="n">
        <x:f>IF(OR(G35="",H35=""),"",H35-G35+1)</x:f>
        <x:v>1</x:v>
      </x:c>
      <x:c r="J35" s="15" t="str">
        <x:v>1886</x:v>
      </x:c>
      <x:c r="K35" s="15" t="str">
        <x:v>Москва</x:v>
      </x:c>
      <x:c r="L35" s="15" t="str">
        <x:v>Эраст Фандорин, Маса, Момус, Анисий Тюльпанов</x:v>
      </x:c>
      <x:c r="M35" s="15" t="str">
        <x:v>основное действие</x:v>
      </x:c>
      <x:c r="N35" s="15" t="str">
        <x:v>Высокая</x:v>
      </x:c>
      <x:c r="O35" s="15" t="str">
        <x:v>Год проверен; нужны месяцы</x:v>
      </x:c>
      <x:c r="P35" s="15" t="str">
        <x:v>Год указан в официальном каталоге.</x:v>
      </x:c>
      <x:c r="Q35" s="15" t="str">
        <x:v>https://www.akunin.ru/knigi/fandorin/erast/</x:v>
      </x:c>
      <x:c r="R35" s="15" t="str"/>
      <x:c r="S35" s="15" t="str">
        <x:v>Комедийное дело о мошенниках.</x:v>
      </x:c>
      <x:c r="T35" s="15" t="str">
        <x:v>карты, маскарад, афера</x:v>
      </x:c>
      <x:c r="U35" s="15" t="str">
        <x:v>основной</x:v>
      </x:c>
    </x:row>
    <x:row r="36">
      <x:c r="A36" s="15" t="str">
        <x:v>fandorin-scarpea</x:v>
      </x:c>
      <x:c r="B36" s="15" t="str">
        <x:v>Борис Акунин</x:v>
      </x:c>
      <x:c r="C36" s="15" t="str">
        <x:v>Эраст Фандорин</x:v>
      </x:c>
      <x:c r="D36" s="15" t="str">
        <x:v>Скарпея Баскаковых</x:v>
      </x:c>
      <x:c r="E36" s="15" t="str">
        <x:v>Нефритовые чётки</x:v>
      </x:c>
      <x:c r="F36" s="15" t="str">
        <x:v>рассказ</x:v>
      </x:c>
      <x:c r="G36" s="15" t="n">
        <x:v>1888</x:v>
      </x:c>
      <x:c r="H36" s="15" t="n">
        <x:v>1888</x:v>
      </x:c>
      <x:c r="I36" s="15" t="n">
        <x:f>IF(OR(G36="",H36=""),"",H36-G36+1)</x:f>
        <x:v>1</x:v>
      </x:c>
      <x:c r="J36" s="15" t="str">
        <x:v>1888</x:v>
      </x:c>
      <x:c r="K36" s="15" t="str">
        <x:v>Подмосковье, Пахринский уезд</x:v>
      </x:c>
      <x:c r="L36" s="15" t="str">
        <x:v>Анисий Тюльпанов, Ангелина Крашенинникова, Эраст Фандорин</x:v>
      </x:c>
      <x:c r="M36" s="15" t="str">
        <x:v>делегированное расследование</x:v>
      </x:c>
      <x:c r="N36" s="15" t="str">
        <x:v>Средняя</x:v>
      </x:c>
      <x:c r="O36" s="15" t="str">
        <x:v>Год подтверждён справочным источником; проверить текст</x:v>
      </x:c>
      <x:c r="P36" s="15" t="str">
        <x:v>Датировка указана в описании состава сборника.</x:v>
      </x:c>
      <x:c r="Q36" s="15" t="str">
        <x:v>https://ru.wikipedia.org/wiki/Нефритовые_чётки</x:v>
      </x:c>
      <x:c r="R36" s="15" t="str"/>
      <x:c r="S36" s="15" t="str">
        <x:v>Фандорин остаётся за сценой; центральная фигура — Тюльпанов.</x:v>
      </x:c>
      <x:c r="T36" s="15" t="str">
        <x:v>болото, гигантская змея, усадьба</x:v>
      </x:c>
      <x:c r="U36" s="15" t="str">
        <x:v>основной</x:v>
      </x:c>
    </x:row>
    <x:row r="37">
      <x:c r="A37" s="15" t="str">
        <x:v>fandorin-decorator</x:v>
      </x:c>
      <x:c r="B37" s="15" t="str">
        <x:v>Борис Акунин</x:v>
      </x:c>
      <x:c r="C37" s="15" t="str">
        <x:v>Эраст Фандорин</x:v>
      </x:c>
      <x:c r="D37" s="15" t="str">
        <x:v>Декоратор</x:v>
      </x:c>
      <x:c r="E37" s="15" t="str">
        <x:v>Особые поручения</x:v>
      </x:c>
      <x:c r="F37" s="15" t="str">
        <x:v>повесть</x:v>
      </x:c>
      <x:c r="G37" s="15" t="n">
        <x:v>1889</x:v>
      </x:c>
      <x:c r="H37" s="15" t="n">
        <x:v>1889</x:v>
      </x:c>
      <x:c r="I37" s="15" t="n">
        <x:f>IF(OR(G37="",H37=""),"",H37-G37+1)</x:f>
        <x:v>1</x:v>
      </x:c>
      <x:c r="J37" s="15" t="str">
        <x:v>с 4 апреля 1889</x:v>
      </x:c>
      <x:c r="K37" s="15" t="str">
        <x:v>Москва</x:v>
      </x:c>
      <x:c r="L37" s="15" t="str">
        <x:v>Эраст Фандорин, Маса, Анисий Тюльпанов, Ангелина</x:v>
      </x:c>
      <x:c r="M37" s="15" t="str">
        <x:v>основное действие</x:v>
      </x:c>
      <x:c r="N37" s="15" t="str">
        <x:v>Высокая</x:v>
      </x:c>
      <x:c r="O37" s="15" t="str">
        <x:v>Начальная дата проверена по тексту</x:v>
      </x:c>
      <x:c r="P37" s="15" t="str">
        <x:v>Глава содержит календарную отметку «4 апреля, великий вторник». Год дан официальным каталогом.</x:v>
      </x:c>
      <x:c r="Q37" s="15" t="str">
        <x:v>https://www.akunin.ru/knigi/fandorin/erast/dekorator/glava2/</x:v>
      </x:c>
      <x:c r="R37" s="15" t="str">
        <x:v>https://www.akunin.ru/knigi/fandorin/erast/</x:v>
      </x:c>
      <x:c r="S37" s="15" t="str">
        <x:v>Самое мрачное из московских дел Фандорина.</x:v>
      </x:c>
      <x:c r="T37" s="15" t="str">
        <x:v>великий вторник, хирургические инструменты, красная нить</x:v>
      </x:c>
      <x:c r="U37" s="15" t="str">
        <x:v>основной</x:v>
      </x:c>
    </x:row>
    <x:row r="38">
      <x:c r="A38" s="15" t="str">
        <x:v>fandorin-one-tenth</x:v>
      </x:c>
      <x:c r="B38" s="15" t="str">
        <x:v>Борис Акунин</x:v>
      </x:c>
      <x:c r="C38" s="15" t="str">
        <x:v>Эраст Фандорин</x:v>
      </x:c>
      <x:c r="D38" s="15" t="str">
        <x:v>Одна десятая процента</x:v>
      </x:c>
      <x:c r="E38" s="15" t="str">
        <x:v>Нефритовые чётки</x:v>
      </x:c>
      <x:c r="F38" s="15" t="str">
        <x:v>рассказ</x:v>
      </x:c>
      <x:c r="G38" s="15" t="n">
        <x:v>1890</x:v>
      </x:c>
      <x:c r="H38" s="15" t="n">
        <x:v>1890</x:v>
      </x:c>
      <x:c r="I38" s="15" t="n">
        <x:f>IF(OR(G38="",H38=""),"",H38-G38+1)</x:f>
        <x:v>1</x:v>
      </x:c>
      <x:c r="J38" s="15" t="str">
        <x:v>1890</x:v>
      </x:c>
      <x:c r="K38" s="15" t="str">
        <x:v>Москва и Подмосковье</x:v>
      </x:c>
      <x:c r="L38" s="15" t="str">
        <x:v>Эраст Фандорин</x:v>
      </x:c>
      <x:c r="M38" s="15" t="str">
        <x:v>основное действие</x:v>
      </x:c>
      <x:c r="N38" s="15" t="str">
        <x:v>Средняя</x:v>
      </x:c>
      <x:c r="O38" s="15" t="str">
        <x:v>Год подтверждён; проверить текст и открытую концовку</x:v>
      </x:c>
      <x:c r="P38" s="15" t="str">
        <x:v>Датировка указана в описании состава сборника.</x:v>
      </x:c>
      <x:c r="Q38" s="15" t="str">
        <x:v>https://ru.wikipedia.org/wiki/Нефритовые_чётки</x:v>
      </x:c>
      <x:c r="R38" s="15" t="str"/>
      <x:c r="S38" s="15" t="str">
        <x:v>Рассказ сознательно заканчивается без явной развязки.</x:v>
      </x:c>
      <x:c r="T38" s="15" t="str">
        <x:v>охота, случайный выстрел, одна улика</x:v>
      </x:c>
      <x:c r="U38" s="15" t="str">
        <x:v>основной</x:v>
      </x:c>
    </x:row>
    <x:row r="39">
      <x:c r="A39" s="15" t="str">
        <x:v>fandorin-state-counsellor</x:v>
      </x:c>
      <x:c r="B39" s="15" t="str">
        <x:v>Борис Акунин</x:v>
      </x:c>
      <x:c r="C39" s="15" t="str">
        <x:v>Эраст Фандорин</x:v>
      </x:c>
      <x:c r="D39" s="15" t="str">
        <x:v>Статский советник</x:v>
      </x:c>
      <x:c r="E39" s="15" t="str">
        <x:v>Статский советник</x:v>
      </x:c>
      <x:c r="F39" s="15" t="str">
        <x:v>роман</x:v>
      </x:c>
      <x:c r="G39" s="15" t="n">
        <x:v>1891</x:v>
      </x:c>
      <x:c r="H39" s="15" t="n">
        <x:v>1891</x:v>
      </x:c>
      <x:c r="I39" s="15" t="n">
        <x:f>IF(OR(G39="",H39=""),"",H39-G39+1)</x:f>
        <x:v>1</x:v>
      </x:c>
      <x:c r="J39" s="15" t="str">
        <x:v>1891</x:v>
      </x:c>
      <x:c r="K39" s="15" t="str">
        <x:v>Москва</x:v>
      </x:c>
      <x:c r="L39" s="15" t="str">
        <x:v>Эраст Фандорин, Грин, князь Пожарский</x:v>
      </x:c>
      <x:c r="M39" s="15" t="str">
        <x:v>основное действие</x:v>
      </x:c>
      <x:c r="N39" s="15" t="str">
        <x:v>Высокая</x:v>
      </x:c>
      <x:c r="O39" s="15" t="str">
        <x:v>Год проверен; нужны календарные границы</x:v>
      </x:c>
      <x:c r="P39" s="15" t="str">
        <x:v>Год указан в официальном каталоге и официальном магазине.</x:v>
      </x:c>
      <x:c r="Q39" s="15" t="str">
        <x:v>https://www.akunin.ru/knigi/fandorin/erast/</x:v>
      </x:c>
      <x:c r="R39" s="15" t="str">
        <x:v>https://babook.org/store</x:v>
      </x:c>
      <x:c r="S39" s="15" t="str">
        <x:v>Политический террор и борьба оперативных стратегий.</x:v>
      </x:c>
      <x:c r="T39" s="15" t="str">
        <x:v>поезд, бомба, подпольная типография</x:v>
      </x:c>
      <x:c r="U39" s="15" t="str">
        <x:v>основной</x:v>
      </x:c>
    </x:row>
    <x:row r="40">
      <x:c r="A40" s="15" t="str">
        <x:v>fandorin-bristol</x:v>
      </x:c>
      <x:c r="B40" s="15" t="str">
        <x:v>Борис Акунин</x:v>
      </x:c>
      <x:c r="C40" s="15" t="str">
        <x:v>Эраст Фандорин</x:v>
      </x:c>
      <x:c r="D40" s="15" t="str">
        <x:v>Чаепитие в Бристоле</x:v>
      </x:c>
      <x:c r="E40" s="15" t="str">
        <x:v>Нефритовые чётки</x:v>
      </x:c>
      <x:c r="F40" s="15" t="str">
        <x:v>рассказ</x:v>
      </x:c>
      <x:c r="G40" s="15" t="n">
        <x:v>1891</x:v>
      </x:c>
      <x:c r="H40" s="15" t="n">
        <x:v>1891</x:v>
      </x:c>
      <x:c r="I40" s="15" t="n">
        <x:f>IF(OR(G40="",H40=""),"",H40-G40+1)</x:f>
        <x:v>1</x:v>
      </x:c>
      <x:c r="J40" s="15" t="str">
        <x:v>1891</x:v>
      </x:c>
      <x:c r="K40" s="15" t="str">
        <x:v>Бристоль</x:v>
      </x:c>
      <x:c r="L40" s="15" t="str">
        <x:v>Эраст Фандорин, мисс Палмер</x:v>
      </x:c>
      <x:c r="M40" s="15" t="str">
        <x:v>эмиграционный эпизод</x:v>
      </x:c>
      <x:c r="N40" s="15" t="str">
        <x:v>Средняя</x:v>
      </x:c>
      <x:c r="O40" s="15" t="str">
        <x:v>Год подтверждён; уточнить последовательность после романа</x:v>
      </x:c>
      <x:c r="P40" s="15" t="str">
        <x:v>Датировка и сюжетная связь со «Статским советником» указаны в описании сборника.</x:v>
      </x:c>
      <x:c r="Q40" s="15" t="str">
        <x:v>https://ru.wikipedia.org/wiki/Нефритовые_чётки</x:v>
      </x:c>
      <x:c r="R40" s="15" t="str"/>
      <x:c r="S40" s="15" t="str">
        <x:v>Переход Фандорина к частной детективной практике.</x:v>
      </x:c>
      <x:c r="T40" s="15" t="str">
        <x:v>чайник, английский дом, фамильное сокровище</x:v>
      </x:c>
      <x:c r="U40" s="15" t="str">
        <x:v>основной</x:v>
      </x:c>
    </x:row>
    <x:row r="41">
      <x:c r="A41" s="15" t="str">
        <x:v>fandorin-dream-valley</x:v>
      </x:c>
      <x:c r="B41" s="15" t="str">
        <x:v>Борис Акунин</x:v>
      </x:c>
      <x:c r="C41" s="15" t="str">
        <x:v>Эраст Фандорин</x:v>
      </x:c>
      <x:c r="D41" s="15" t="str">
        <x:v>Долина Мечты</x:v>
      </x:c>
      <x:c r="E41" s="15" t="str">
        <x:v>Нефритовые чётки</x:v>
      </x:c>
      <x:c r="F41" s="15" t="str">
        <x:v>повесть</x:v>
      </x:c>
      <x:c r="G41" s="15" t="n">
        <x:v>1894</x:v>
      </x:c>
      <x:c r="H41" s="15" t="n">
        <x:v>1894</x:v>
      </x:c>
      <x:c r="I41" s="15" t="n">
        <x:f>IF(OR(G41="",H41=""),"",H41-G41+1)</x:f>
        <x:v>1</x:v>
      </x:c>
      <x:c r="J41" s="15" t="str">
        <x:v>1894</x:v>
      </x:c>
      <x:c r="K41" s="15" t="str">
        <x:v>Вайоминг, США</x:v>
      </x:c>
      <x:c r="L41" s="15" t="str">
        <x:v>Эраст Фандорин, агентство Пинкертона</x:v>
      </x:c>
      <x:c r="M41" s="15" t="str">
        <x:v>основное действие</x:v>
      </x:c>
      <x:c r="N41" s="15" t="str">
        <x:v>Средняя</x:v>
      </x:c>
      <x:c r="O41" s="15" t="str">
        <x:v>Год подтверждён справочным источником; проверить текст</x:v>
      </x:c>
      <x:c r="P41" s="15" t="str">
        <x:v>Датировка и место указаны в описании состава сборника.</x:v>
      </x:c>
      <x:c r="Q41" s="15" t="str">
        <x:v>https://ru.wikipedia.org/wiki/Нефритовые_чётки</x:v>
      </x:c>
      <x:c r="R41" s="15" t="str"/>
      <x:c r="S41" s="15" t="str">
        <x:v>Американская частная практика и обучение в MIT.</x:v>
      </x:c>
      <x:c r="T41" s="15" t="str">
        <x:v>каньон, револьвер, железная дорога, Пинкертон</x:v>
      </x:c>
      <x:c r="U41" s="15" t="str">
        <x:v>основной</x:v>
      </x:c>
    </x:row>
    <x:row r="42">
      <x:c r="A42" s="15" t="str">
        <x:v>fandorin-dao-2</x:v>
      </x:c>
      <x:c r="B42" s="15" t="str">
        <x:v>Борис Акунин</x:v>
      </x:c>
      <x:c r="C42" s="15" t="str">
        <x:v>Эраст Фандорин</x:v>
      </x:c>
      <x:c r="D42" s="15" t="str">
        <x:v>Дао Эраста Фандорина — II</x:v>
      </x:c>
      <x:c r="E42" s="15" t="str">
        <x:v>Дао Эраста Фандорина</x:v>
      </x:c>
      <x:c r="F42" s="15" t="str">
        <x:v>миниатюра</x:v>
      </x:c>
      <x:c r="G42" s="15" t="n">
        <x:v>1896</x:v>
      </x:c>
      <x:c r="H42" s="15" t="n">
        <x:v>1896</x:v>
      </x:c>
      <x:c r="I42" s="15" t="n">
        <x:f>IF(OR(G42="",H42=""),"",H42-G42+1)</x:f>
        <x:v>1</x:v>
      </x:c>
      <x:c r="J42" s="15" t="str">
        <x:v>1896</x:v>
      </x:c>
      <x:c r="K42" s="15" t="str">
        <x:v>Россия</x:v>
      </x:c>
      <x:c r="L42" s="15" t="str">
        <x:v>Эраст Фандорин</x:v>
      </x:c>
      <x:c r="M42" s="15" t="str">
        <x:v>биографическая миниатюра</x:v>
      </x:c>
      <x:c r="N42" s="15" t="str">
        <x:v>Высокая</x:v>
      </x:c>
      <x:c r="O42" s="15" t="str">
        <x:v>Год вычислен из возраста героя</x:v>
      </x:c>
      <x:c r="P42" s="15" t="str">
        <x:v>Автор называет Фандорина сорокалетним; дата рождения — 8 января 1856.</x:v>
      </x:c>
      <x:c r="Q42" s="15" t="str">
        <x:v>https://babook.org/posts/236</x:v>
      </x:c>
      <x:c r="R42" s="15" t="str">
        <x:v>https://babook.org/posts/235</x:v>
      </x:c>
      <x:c r="S42" s="15" t="str">
        <x:v>Вторая редакция жизненного кодекса.</x:v>
      </x:c>
      <x:c r="T42" s="15" t="str">
        <x:v>шкатулка, дагерротип, медальон</x:v>
      </x:c>
      <x:c r="U42" s="15" t="str">
        <x:v>основной</x:v>
      </x:c>
    </x:row>
    <x:row r="43">
      <x:c r="A43" s="15" t="str">
        <x:v>fandorin-coronation</x:v>
      </x:c>
      <x:c r="B43" s="15" t="str">
        <x:v>Борис Акунин</x:v>
      </x:c>
      <x:c r="C43" s="15" t="str">
        <x:v>Эраст Фандорин</x:v>
      </x:c>
      <x:c r="D43" s="15" t="str">
        <x:v>Коронация, или Последний из романов</x:v>
      </x:c>
      <x:c r="E43" s="15" t="str">
        <x:v>Коронация</x:v>
      </x:c>
      <x:c r="F43" s="15" t="str">
        <x:v>роман</x:v>
      </x:c>
      <x:c r="G43" s="15" t="n">
        <x:v>1896</x:v>
      </x:c>
      <x:c r="H43" s="15" t="n">
        <x:v>1896</x:v>
      </x:c>
      <x:c r="I43" s="15" t="n">
        <x:f>IF(OR(G43="",H43=""),"",H43-G43+1)</x:f>
        <x:v>1</x:v>
      </x:c>
      <x:c r="J43" s="15" t="str">
        <x:v>май 1896</x:v>
      </x:c>
      <x:c r="K43" s="15" t="str">
        <x:v>Москва</x:v>
      </x:c>
      <x:c r="L43" s="15" t="str">
        <x:v>Эраст Фандорин, Маса, Зюкин, доктор Линд</x:v>
      </x:c>
      <x:c r="M43" s="15" t="str">
        <x:v>основное действие</x:v>
      </x:c>
      <x:c r="N43" s="15" t="str">
        <x:v>Высокая</x:v>
      </x:c>
      <x:c r="O43" s="15" t="str">
        <x:v>Год и историческая привязка проверены</x:v>
      </x:c>
      <x:c r="P43" s="15" t="str">
        <x:v>Действие привязано к коронации Николая II; год указан официальным каталогом.</x:v>
      </x:c>
      <x:c r="Q43" s="15" t="str">
        <x:v>https://www.akunin.ru/knigi/fandorin/erast/</x:v>
      </x:c>
      <x:c r="R43" s="15" t="str">
        <x:v>https://babook.org/store</x:v>
      </x:c>
      <x:c r="S43" s="15" t="str">
        <x:v>Коронационные торжества и похищение великокняжеского ребёнка.</x:v>
      </x:c>
      <x:c r="T43" s="15" t="str">
        <x:v>корона, Ходынка, дворцовая ливрея</x:v>
      </x:c>
      <x:c r="U43" s="15" t="str">
        <x:v>основной</x:v>
      </x:c>
    </x:row>
    <x:row r="44">
      <x:c r="A44" s="15" t="str">
        <x:v>fandorin-before-end</x:v>
      </x:c>
      <x:c r="B44" s="15" t="str">
        <x:v>Борис Акунин</x:v>
      </x:c>
      <x:c r="C44" s="15" t="str">
        <x:v>Эраст Фандорин</x:v>
      </x:c>
      <x:c r="D44" s="15" t="str">
        <x:v>Перед концом света</x:v>
      </x:c>
      <x:c r="E44" s="15" t="str">
        <x:v>Нефритовые чётки</x:v>
      </x:c>
      <x:c r="F44" s="15" t="str">
        <x:v>повесть</x:v>
      </x:c>
      <x:c r="G44" s="15" t="n">
        <x:v>1897</x:v>
      </x:c>
      <x:c r="H44" s="15" t="n">
        <x:v>1897</x:v>
      </x:c>
      <x:c r="I44" s="15" t="n">
        <x:f>IF(OR(G44="",H44=""),"",H44-G44+1)</x:f>
        <x:v>1</x:v>
      </x:c>
      <x:c r="J44" s="15" t="str">
        <x:v>1897</x:v>
      </x:c>
      <x:c r="K44" s="15" t="str">
        <x:v>Архангельская губерния</x:v>
      </x:c>
      <x:c r="L44" s="15" t="str">
        <x:v>Эраст Фандорин под именем Кузнецова</x:v>
      </x:c>
      <x:c r="M44" s="15" t="str">
        <x:v>нелегальное возвращение в Россию</x:v>
      </x:c>
      <x:c r="N44" s="15" t="str">
        <x:v>Средняя</x:v>
      </x:c>
      <x:c r="O44" s="15" t="str">
        <x:v>Год подтверждён; проверить календарь переписи</x:v>
      </x:c>
      <x:c r="P44" s="15" t="str">
        <x:v>Датировка указана в описании состава сборника и связана с переписью населения.</x:v>
      </x:c>
      <x:c r="Q44" s="15" t="str">
        <x:v>https://ru.wikipedia.org/wiki/Нефритовые_чётки</x:v>
      </x:c>
      <x:c r="R44" s="15" t="str"/>
      <x:c r="S44" s="15" t="str">
        <x:v>Старообрядческая среда и ритуальные самоубийства.</x:v>
      </x:c>
      <x:c r="T44" s="15" t="str">
        <x:v>северная деревня, переписной лист, раскольничий крест</x:v>
      </x:c>
      <x:c r="U44" s="15" t="str">
        <x:v>основной</x:v>
      </x:c>
    </x:row>
    <x:row r="45">
      <x:c r="A45" s="15" t="str">
        <x:v>fandorin-tower-prisoner</x:v>
      </x:c>
      <x:c r="B45" s="15" t="str">
        <x:v>Борис Акунин</x:v>
      </x:c>
      <x:c r="C45" s="15" t="str">
        <x:v>Эраст Фандорин</x:v>
      </x:c>
      <x:c r="D45" s="15" t="str">
        <x:v>Узница башни</x:v>
      </x:c>
      <x:c r="E45" s="15" t="str">
        <x:v>Нефритовые чётки</x:v>
      </x:c>
      <x:c r="F45" s="15" t="str">
        <x:v>повесть</x:v>
      </x:c>
      <x:c r="G45" s="15" t="n">
        <x:v>1899</x:v>
      </x:c>
      <x:c r="H45" s="15" t="n">
        <x:v>1900</x:v>
      </x:c>
      <x:c r="I45" s="15" t="n">
        <x:f>IF(OR(G45="",H45=""),"",H45-G45+1)</x:f>
        <x:v>2</x:v>
      </x:c>
      <x:c r="J45" s="15" t="str">
        <x:v>ночь 31 декабря 1899 / 1 января 1900</x:v>
      </x:c>
      <x:c r="K45" s="15" t="str">
        <x:v>Бретань, замок Во-Гарни</x:v>
      </x:c>
      <x:c r="L45" s="15" t="str">
        <x:v>Эраст Фандорин, Маса, Шерлок Холмс, доктор Уотсон, Арсен Люпен</x:v>
      </x:c>
      <x:c r="M45" s="15" t="str">
        <x:v>пограничная ночь двух веков</x:v>
      </x:c>
      <x:c r="N45" s="15" t="str">
        <x:v>Средняя</x:v>
      </x:c>
      <x:c r="O45" s="15" t="str">
        <x:v>Дата подтверждена; проверить внутреннюю последовательность</x:v>
      </x:c>
      <x:c r="P45" s="15" t="str">
        <x:v>Действие происходит в последнюю ночь XIX века.</x:v>
      </x:c>
      <x:c r="Q45" s="15" t="str">
        <x:v>https://ru.wikipedia.org/wiki/Нефритовые_чётки</x:v>
      </x:c>
      <x:c r="R45" s="15" t="str"/>
      <x:c r="S45" s="15" t="str">
        <x:v>Ироническое состязание трёх великих умов.</x:v>
      </x:c>
      <x:c r="T45" s="15" t="str">
        <x:v>башня, часы, Бретань, чёрная маска</x:v>
      </x:c>
      <x:c r="U45" s="15" t="str">
        <x:v>основной</x:v>
      </x:c>
    </x:row>
    <x:row r="46">
      <x:c r="A46" s="15" t="str">
        <x:v>fandorin-he-lover</x:v>
      </x:c>
      <x:c r="B46" s="15" t="str">
        <x:v>Борис Акунин</x:v>
      </x:c>
      <x:c r="C46" s="15" t="str">
        <x:v>Эраст Фандорин</x:v>
      </x:c>
      <x:c r="D46" s="15" t="str">
        <x:v>Любовник Смерти</x:v>
      </x:c>
      <x:c r="E46" s="15" t="str">
        <x:v>Любовник Смерти</x:v>
      </x:c>
      <x:c r="F46" s="15" t="str">
        <x:v>роман</x:v>
      </x:c>
      <x:c r="G46" s="15" t="n">
        <x:v>1900</x:v>
      </x:c>
      <x:c r="H46" s="15" t="n">
        <x:v>1900</x:v>
      </x:c>
      <x:c r="I46" s="15" t="n">
        <x:f>IF(OR(G46="",H46=""),"",H46-G46+1)</x:f>
        <x:v>1</x:v>
      </x:c>
      <x:c r="J46" s="15" t="str">
        <x:v>1900</x:v>
      </x:c>
      <x:c r="K46" s="15" t="str">
        <x:v>Москва, Хитровка</x:v>
      </x:c>
      <x:c r="L46" s="15" t="str">
        <x:v>Эраст Фандорин, Маса, Сенька Скориков</x:v>
      </x:c>
      <x:c r="M46" s="15" t="str">
        <x:v>параллельное действие</x:v>
      </x:c>
      <x:c r="N46" s="15" t="str">
        <x:v>Высокая</x:v>
      </x:c>
      <x:c r="O46" s="15" t="str">
        <x:v>Год проверен; нужны месяцы и синхронизация</x:v>
      </x:c>
      <x:c r="P46" s="15" t="str">
        <x:v>Год указан официальным каталогом и официальным магазином.</x:v>
      </x:c>
      <x:c r="Q46" s="15" t="str">
        <x:v>https://www.akunin.ru/knigi/fandorin/erast/</x:v>
      </x:c>
      <x:c r="R46" s="15" t="str">
        <x:v>https://babook.org/store</x:v>
      </x:c>
      <x:c r="S46" s="15" t="str">
        <x:v>Действие синхронно «Любовнице смерти».</x:v>
      </x:c>
      <x:c r="T46" s="15" t="str">
        <x:v>Хитровка, финский нож, клад, подземелье</x:v>
      </x:c>
      <x:c r="U46" s="15" t="str">
        <x:v>основной</x:v>
      </x:c>
    </x:row>
    <x:row r="47">
      <x:c r="A47" s="15" t="str">
        <x:v>fandorin-she-lover</x:v>
      </x:c>
      <x:c r="B47" s="15" t="str">
        <x:v>Борис Акунин</x:v>
      </x:c>
      <x:c r="C47" s="15" t="str">
        <x:v>Эраст Фандорин</x:v>
      </x:c>
      <x:c r="D47" s="15" t="str">
        <x:v>Любовница смерти</x:v>
      </x:c>
      <x:c r="E47" s="15" t="str">
        <x:v>Любовница смерти</x:v>
      </x:c>
      <x:c r="F47" s="15" t="str">
        <x:v>роман</x:v>
      </x:c>
      <x:c r="G47" s="15" t="n">
        <x:v>1900</x:v>
      </x:c>
      <x:c r="H47" s="15" t="n">
        <x:v>1900</x:v>
      </x:c>
      <x:c r="I47" s="15" t="n">
        <x:f>IF(OR(G47="",H47=""),"",H47-G47+1)</x:f>
        <x:v>1</x:v>
      </x:c>
      <x:c r="J47" s="15" t="str">
        <x:v>1900</x:v>
      </x:c>
      <x:c r="K47" s="15" t="str">
        <x:v>Москва</x:v>
      </x:c>
      <x:c r="L47" s="15" t="str">
        <x:v>Эраст Фандорин, Коломбина, участники клуба самоубийц</x:v>
      </x:c>
      <x:c r="M47" s="15" t="str">
        <x:v>параллельное действие</x:v>
      </x:c>
      <x:c r="N47" s="15" t="str">
        <x:v>Высокая</x:v>
      </x:c>
      <x:c r="O47" s="15" t="str">
        <x:v>Год проверен; нужны месяцы и синхронизация</x:v>
      </x:c>
      <x:c r="P47" s="15" t="str">
        <x:v>Год указан официальным каталогом и официальным магазином.</x:v>
      </x:c>
      <x:c r="Q47" s="15" t="str">
        <x:v>https://www.akunin.ru/knigi/fandorin/erast/</x:v>
      </x:c>
      <x:c r="R47" s="15" t="str">
        <x:v>https://babook.org/store</x:v>
      </x:c>
      <x:c r="S47" s="15" t="str">
        <x:v>Действие синхронно «Любовнику Смерти».</x:v>
      </x:c>
      <x:c r="T47" s="15" t="str">
        <x:v>декадентский салон, чёрные розы, поэтическая тетрадь</x:v>
      </x:c>
      <x:c r="U47" s="15" t="str">
        <x:v>основной</x:v>
      </x:c>
    </x:row>
    <x:row r="48">
      <x:c r="A48" s="15" t="str">
        <x:v>fandorin-planet-water</x:v>
      </x:c>
      <x:c r="B48" s="15" t="str">
        <x:v>Борис Акунин</x:v>
      </x:c>
      <x:c r="C48" s="15" t="str">
        <x:v>Эраст Фандорин</x:v>
      </x:c>
      <x:c r="D48" s="15" t="str">
        <x:v>Планета Вода</x:v>
      </x:c>
      <x:c r="E48" s="15" t="str">
        <x:v>Планета Вода</x:v>
      </x:c>
      <x:c r="F48" s="15" t="str">
        <x:v>повесть</x:v>
      </x:c>
      <x:c r="G48" s="15" t="n">
        <x:v>1903</x:v>
      </x:c>
      <x:c r="H48" s="15" t="n">
        <x:v>1903</x:v>
      </x:c>
      <x:c r="I48" s="15" t="n">
        <x:f>IF(OR(G48="",H48=""),"",H48-G48+1)</x:f>
        <x:v>1</x:v>
      </x:c>
      <x:c r="J48" s="15" t="str">
        <x:v>1903</x:v>
      </x:c>
      <x:c r="K48" s="15" t="str">
        <x:v>Атлантика, острова</x:v>
      </x:c>
      <x:c r="L48" s="15" t="str">
        <x:v>Эраст Фандорин, Маса</x:v>
      </x:c>
      <x:c r="M48" s="15" t="str">
        <x:v>основное действие</x:v>
      </x:c>
      <x:c r="N48" s="15" t="str">
        <x:v>Средняя</x:v>
      </x:c>
      <x:c r="O48" s="15" t="str">
        <x:v>Год подтверждён; требуется текстовая верификация</x:v>
      </x:c>
      <x:c r="P48" s="15" t="str">
        <x:v>Год указан в составе сборника.</x:v>
      </x:c>
      <x:c r="Q48" s="15" t="str">
        <x:v>https://babook.org/store</x:v>
      </x:c>
      <x:c r="R48" s="15" t="str">
        <x:v>https://ru.wikipedia.org/wiki/Планета_Вода</x:v>
      </x:c>
      <x:c r="S48" s="15" t="str">
        <x:v>Подводная экспедиция и технократический заговор.</x:v>
      </x:c>
      <x:c r="T48" s="15" t="str">
        <x:v>батискаф, галеон, океанская карта</x:v>
      </x:c>
      <x:c r="U48" s="15" t="str">
        <x:v>основной</x:v>
      </x:c>
    </x:row>
    <x:row r="49">
      <x:c r="A49" s="15" t="str">
        <x:v>fandorin-diamond-1905</x:v>
      </x:c>
      <x:c r="B49" s="15" t="str">
        <x:v>Борис Акунин</x:v>
      </x:c>
      <x:c r="C49" s="15" t="str">
        <x:v>Эраст Фандорин</x:v>
      </x:c>
      <x:c r="D49" s="15" t="str">
        <x:v>Алмазная колесница — линия 1905 года</x:v>
      </x:c>
      <x:c r="E49" s="15" t="str">
        <x:v>Алмазная колесница</x:v>
      </x:c>
      <x:c r="F49" s="15" t="str">
        <x:v>роман, временной пласт</x:v>
      </x:c>
      <x:c r="G49" s="15" t="n">
        <x:v>1905</x:v>
      </x:c>
      <x:c r="H49" s="15" t="n">
        <x:v>1905</x:v>
      </x:c>
      <x:c r="I49" s="15" t="n">
        <x:f>IF(OR(G49="",H49=""),"",H49-G49+1)</x:f>
        <x:v>1</x:v>
      </x:c>
      <x:c r="J49" s="15" t="str">
        <x:v>1905</x:v>
      </x:c>
      <x:c r="K49" s="15" t="str">
        <x:v>Санкт-Петербург и Россия</x:v>
      </x:c>
      <x:c r="L49" s="15" t="str">
        <x:v>Эраст Фандорин, штабс-капитан Рыбников</x:v>
      </x:c>
      <x:c r="M49" s="15" t="str">
        <x:v>рамочная основная линия</x:v>
      </x:c>
      <x:c r="N49" s="15" t="str">
        <x:v>Высокая</x:v>
      </x:c>
      <x:c r="O49" s="15" t="str">
        <x:v>Год проверен; нужны месяцы</x:v>
      </x:c>
      <x:c r="P49" s="15" t="str">
        <x:v>Год указан в новом авторском издании и официальном магазине.</x:v>
      </x:c>
      <x:c r="Q49" s="15" t="str">
        <x:v>https://babook.org/drupal/sites/default/files/2025-03/AlmaznayaKolesnicaNew1.pdf</x:v>
      </x:c>
      <x:c r="R49" s="15" t="str">
        <x:v>https://babook.org/store</x:v>
      </x:c>
      <x:c r="S49" s="15" t="str">
        <x:v>Русско-японская война и возвращение прошлого.</x:v>
      </x:c>
      <x:c r="T49" s="15" t="str">
        <x:v>поезд, шифр, японский веер, алмаз</x:v>
      </x:c>
      <x:c r="U49" s="15" t="str">
        <x:v>основной</x:v>
      </x:c>
    </x:row>
    <x:row r="50">
      <x:c r="A50" s="15" t="str">
        <x:v>fandorin-lonely-sail</x:v>
      </x:c>
      <x:c r="B50" s="15" t="str">
        <x:v>Борис Акунин</x:v>
      </x:c>
      <x:c r="C50" s="15" t="str">
        <x:v>Эраст Фандорин</x:v>
      </x:c>
      <x:c r="D50" s="15" t="str">
        <x:v>Парус одинокий</x:v>
      </x:c>
      <x:c r="E50" s="15" t="str">
        <x:v>Планета Вода</x:v>
      </x:c>
      <x:c r="F50" s="15" t="str">
        <x:v>повесть</x:v>
      </x:c>
      <x:c r="G50" s="15" t="n">
        <x:v>1906</x:v>
      </x:c>
      <x:c r="H50" s="15" t="n">
        <x:v>1906</x:v>
      </x:c>
      <x:c r="I50" s="15" t="n">
        <x:f>IF(OR(G50="",H50=""),"",H50-G50+1)</x:f>
        <x:v>1</x:v>
      </x:c>
      <x:c r="J50" s="15" t="str">
        <x:v>1906</x:v>
      </x:c>
      <x:c r="K50" s="15" t="str">
        <x:v>Париж, Заволжская губерния</x:v>
      </x:c>
      <x:c r="L50" s="15" t="str">
        <x:v>Эраст Фандорин, Ангелина Крашенинникова</x:v>
      </x:c>
      <x:c r="M50" s="15" t="str">
        <x:v>основное действие</x:v>
      </x:c>
      <x:c r="N50" s="15" t="str">
        <x:v>Средняя</x:v>
      </x:c>
      <x:c r="O50" s="15" t="str">
        <x:v>Год подтверждён; требуется текстовая верификация</x:v>
      </x:c>
      <x:c r="P50" s="15" t="str">
        <x:v>Год указан в составе сборника.</x:v>
      </x:c>
      <x:c r="Q50" s="15" t="str">
        <x:v>https://babook.org/store</x:v>
      </x:c>
      <x:c r="R50" s="15" t="str">
        <x:v>https://ru.wikipedia.org/wiki/Планета_Вода</x:v>
      </x:c>
      <x:c r="S50" s="15" t="str">
        <x:v>Возвращение в Заволжскую губернию и завершение линии Ангелины.</x:v>
      </x:c>
      <x:c r="T50" s="15" t="str">
        <x:v>монастырский остров, одинокий парус, газетная вырезка</x:v>
      </x:c>
      <x:c r="U50" s="15" t="str">
        <x:v>основной</x:v>
      </x:c>
    </x:row>
    <x:row r="51">
      <x:c r="A51" s="15" t="str">
        <x:v>fandorin-theatre</x:v>
      </x:c>
      <x:c r="B51" s="15" t="str">
        <x:v>Борис Акунин</x:v>
      </x:c>
      <x:c r="C51" s="15" t="str">
        <x:v>Эраст Фандорин</x:v>
      </x:c>
      <x:c r="D51" s="15" t="str">
        <x:v>Весь мир театр</x:v>
      </x:c>
      <x:c r="E51" s="15" t="str">
        <x:v>Весь мир театр</x:v>
      </x:c>
      <x:c r="F51" s="15" t="str">
        <x:v>роман</x:v>
      </x:c>
      <x:c r="G51" s="15" t="n">
        <x:v>1911</x:v>
      </x:c>
      <x:c r="H51" s="15" t="n">
        <x:v>1911</x:v>
      </x:c>
      <x:c r="I51" s="15" t="n">
        <x:f>IF(OR(G51="",H51=""),"",H51-G51+1)</x:f>
        <x:v>1</x:v>
      </x:c>
      <x:c r="J51" s="15" t="str">
        <x:v>1911</x:v>
      </x:c>
      <x:c r="K51" s="15" t="str">
        <x:v>Москва</x:v>
      </x:c>
      <x:c r="L51" s="15" t="str">
        <x:v>Эраст Фандорин, Маса, Элиза Альтаирская-Луантэн</x:v>
      </x:c>
      <x:c r="M51" s="15" t="str">
        <x:v>основное действие</x:v>
      </x:c>
      <x:c r="N51" s="15" t="str">
        <x:v>Высокая</x:v>
      </x:c>
      <x:c r="O51" s="15" t="str">
        <x:v>Год проверен; нужны даты театрального сезона</x:v>
      </x:c>
      <x:c r="P51" s="15" t="str">
        <x:v>Год прямо указан автором и в новом издании.</x:v>
      </x:c>
      <x:c r="Q51" s="15" t="str">
        <x:v>https://babook.org/posts/2577</x:v>
      </x:c>
      <x:c r="R51" s="15" t="str">
        <x:v>https://babook.org/drupal/sites/default/files/2025-04/VesMirTeatrNew1.pdf</x:v>
      </x:c>
      <x:c r="S51" s="15" t="str">
        <x:v>Театральный роман и начало отношений с Элизой.</x:v>
      </x:c>
      <x:c r="T51" s="15" t="str">
        <x:v>сцена, занавес, японский театр кукол</x:v>
      </x:c>
      <x:c r="U51" s="15" t="str">
        <x:v>основной</x:v>
      </x:c>
    </x:row>
    <x:row r="52">
      <x:c r="A52" s="15" t="str">
        <x:v>fandorin-where-sail</x:v>
      </x:c>
      <x:c r="B52" s="15" t="str">
        <x:v>Борис Акунин</x:v>
      </x:c>
      <x:c r="C52" s="15" t="str">
        <x:v>Эраст Фандорин</x:v>
      </x:c>
      <x:c r="D52" s="15" t="str">
        <x:v>Куда ж нам плыть?</x:v>
      </x:c>
      <x:c r="E52" s="15" t="str">
        <x:v>Планета Вода</x:v>
      </x:c>
      <x:c r="F52" s="15" t="str">
        <x:v>повесть</x:v>
      </x:c>
      <x:c r="G52" s="15" t="n">
        <x:v>1912</x:v>
      </x:c>
      <x:c r="H52" s="15" t="n">
        <x:v>1912</x:v>
      </x:c>
      <x:c r="I52" s="15" t="n">
        <x:f>IF(OR(G52="",H52=""),"",H52-G52+1)</x:f>
        <x:v>1</x:v>
      </x:c>
      <x:c r="J52" s="15" t="str">
        <x:v>31 декабря 1912</x:v>
      </x:c>
      <x:c r="K52" s="15" t="str">
        <x:v>Польша, поезд, Краков</x:v>
      </x:c>
      <x:c r="L52" s="15" t="str">
        <x:v>Эраст Фандорин, Элиза, Ленин, Сталин</x:v>
      </x:c>
      <x:c r="M52" s="15" t="str">
        <x:v>один день</x:v>
      </x:c>
      <x:c r="N52" s="15" t="str">
        <x:v>Средняя</x:v>
      </x:c>
      <x:c r="O52" s="15" t="str">
        <x:v>Точная дата подтверждена справочным источником; проверить текст</x:v>
      </x:c>
      <x:c r="P52" s="15" t="str">
        <x:v>Всё действие укладывается в 31 декабря 1912 года.</x:v>
      </x:c>
      <x:c r="Q52" s="15" t="str">
        <x:v>https://babook.org/store</x:v>
      </x:c>
      <x:c r="R52" s="15" t="str">
        <x:v>https://ru.wikipedia.org/wiki/Планета_Вода</x:v>
      </x:c>
      <x:c r="S52" s="15" t="str">
        <x:v>Поездное преследование в канун Нового года.</x:v>
      </x:c>
      <x:c r="T52" s="15" t="str">
        <x:v>поезд, банковские мешки, зимний Краков</x:v>
      </x:c>
      <x:c r="U52" s="15" t="str">
        <x:v>основной</x:v>
      </x:c>
    </x:row>
    <x:row r="53">
      <x:c r="A53" s="15" t="str">
        <x:v>fandorin-black-city</x:v>
      </x:c>
      <x:c r="B53" s="15" t="str">
        <x:v>Борис Акунин</x:v>
      </x:c>
      <x:c r="C53" s="15" t="str">
        <x:v>Эраст Фандорин</x:v>
      </x:c>
      <x:c r="D53" s="15" t="str">
        <x:v>Чёрный город</x:v>
      </x:c>
      <x:c r="E53" s="15" t="str">
        <x:v>Чёрный город</x:v>
      </x:c>
      <x:c r="F53" s="15" t="str">
        <x:v>роман</x:v>
      </x:c>
      <x:c r="G53" s="15" t="n">
        <x:v>1914</x:v>
      </x:c>
      <x:c r="H53" s="15" t="n">
        <x:v>1914</x:v>
      </x:c>
      <x:c r="I53" s="15" t="n">
        <x:f>IF(OR(G53="",H53=""),"",H53-G53+1)</x:f>
        <x:v>1</x:v>
      </x:c>
      <x:c r="J53" s="15" t="str">
        <x:v>1914</x:v>
      </x:c>
      <x:c r="K53" s="15" t="str">
        <x:v>Баку</x:v>
      </x:c>
      <x:c r="L53" s="15" t="str">
        <x:v>Эраст Фандорин, Маса, Элиза, большевистское подполье</x:v>
      </x:c>
      <x:c r="M53" s="15" t="str">
        <x:v>основное действие</x:v>
      </x:c>
      <x:c r="N53" s="15" t="str">
        <x:v>Высокая</x:v>
      </x:c>
      <x:c r="O53" s="15" t="str">
        <x:v>Год проверен; нужны месяцы</x:v>
      </x:c>
      <x:c r="P53" s="15" t="str">
        <x:v>Год прямо указан в новом авторском издании.</x:v>
      </x:c>
      <x:c r="Q53" s="15" t="str">
        <x:v>https://babook.org/drupal/sites/default/files/2025-05/ChernyiGorodNew1.pdf</x:v>
      </x:c>
      <x:c r="R53" s="15" t="str">
        <x:v>https://babook.org/store/20-23</x:v>
      </x:c>
      <x:c r="S53" s="15" t="str">
        <x:v>Баку перед Первой мировой войной; формальный обрыв биографии героя.</x:v>
      </x:c>
      <x:c r="T53" s="15" t="str">
        <x:v>нефтяная вышка, восточный город, киноаппарат</x:v>
      </x:c>
      <x:c r="U53" s="15" t="str">
        <x:v>основной</x:v>
      </x:c>
    </x:row>
    <x:row r="54">
      <x:c r="A54" s="15" t="str">
        <x:v>fandorin-dao-3</x:v>
      </x:c>
      <x:c r="B54" s="15" t="str">
        <x:v>Борис Акунин</x:v>
      </x:c>
      <x:c r="C54" s="15" t="str">
        <x:v>Эраст Фандорин</x:v>
      </x:c>
      <x:c r="D54" s="15" t="str">
        <x:v>Дао Эраста Фандорина — III</x:v>
      </x:c>
      <x:c r="E54" s="15" t="str">
        <x:v>Дао Эраста Фандорина</x:v>
      </x:c>
      <x:c r="F54" s="15" t="str">
        <x:v>миниатюра</x:v>
      </x:c>
      <x:c r="G54" s="15" t="n">
        <x:v>1917</x:v>
      </x:c>
      <x:c r="H54" s="15" t="n">
        <x:v>1917</x:v>
      </x:c>
      <x:c r="I54" s="15" t="n">
        <x:f>IF(OR(G54="",H54=""),"",H54-G54+1)</x:f>
        <x:v>1</x:v>
      </x:c>
      <x:c r="J54" s="15" t="str">
        <x:v>1917</x:v>
      </x:c>
      <x:c r="K54" s="15" t="str">
        <x:v>Россия</x:v>
      </x:c>
      <x:c r="L54" s="15" t="str">
        <x:v>Эраст Фандорин</x:v>
      </x:c>
      <x:c r="M54" s="15" t="str">
        <x:v>биографическая миниатюра</x:v>
      </x:c>
      <x:c r="N54" s="15" t="str">
        <x:v>Средняя</x:v>
      </x:c>
      <x:c r="O54" s="15" t="str">
        <x:v>Год подтверждён библиографией; проверить авторский контекст</x:v>
      </x:c>
      <x:c r="P54" s="15" t="str">
        <x:v>Третий временной слой библиографически отнесён к 1917 году.</x:v>
      </x:c>
      <x:c r="Q54" s="15" t="str">
        <x:v>https://babook.org/posts/237</x:v>
      </x:c>
      <x:c r="R54" s="15" t="str">
        <x:v>https://ru.wikipedia.org/wiki/Библиография_Григория_Чхартишвили</x:v>
      </x:c>
      <x:c r="S54" s="15" t="str">
        <x:v>Третья редакция жизненного кодекса.</x:v>
      </x:c>
      <x:c r="T54" s="15" t="str">
        <x:v>лист правил, открытые глаза, растущее дерево</x:v>
      </x:c>
      <x:c r="U54" s="15" t="str">
        <x:v>основной</x:v>
      </x:c>
    </x:row>
    <x:row r="55">
      <x:c r="A55" s="15" t="str">
        <x:v>fandorin-not-goodbye-1918</x:v>
      </x:c>
      <x:c r="B55" s="15" t="str">
        <x:v>Борис Акунин</x:v>
      </x:c>
      <x:c r="C55" s="15" t="str">
        <x:v>Эраст Фандорин</x:v>
      </x:c>
      <x:c r="D55" s="15" t="str">
        <x:v>Не прощаюсь — основное действие</x:v>
      </x:c>
      <x:c r="E55" s="15" t="str">
        <x:v>Не прощаюсь</x:v>
      </x:c>
      <x:c r="F55" s="15" t="str">
        <x:v>роман, основной временной пласт</x:v>
      </x:c>
      <x:c r="G55" s="15" t="n">
        <x:v>1918</x:v>
      </x:c>
      <x:c r="H55" s="15" t="n">
        <x:v>1918</x:v>
      </x:c>
      <x:c r="I55" s="15" t="n">
        <x:f>IF(OR(G55="",H55=""),"",H55-G55+1)</x:f>
        <x:v>1</x:v>
      </x:c>
      <x:c r="J55" s="15" t="str">
        <x:v>март 1918 — далее в течение 1918 года</x:v>
      </x:c>
      <x:c r="K55" s="15" t="str">
        <x:v>Самара, Москва, Харьков и Россия времён Гражданской войны</x:v>
      </x:c>
      <x:c r="L55" s="15" t="str">
        <x:v>Эраст Фандорин, Маса, Алексей Романов, Мона</x:v>
      </x:c>
      <x:c r="M55" s="15" t="str">
        <x:v>основное действие</x:v>
      </x:c>
      <x:c r="N55" s="15" t="str">
        <x:v>Высокая</x:v>
      </x:c>
      <x:c r="O55" s="15" t="str">
        <x:v>Начало и основной год проверены; нужны помесячные границы частей</x:v>
      </x:c>
      <x:c r="P55" s="15" t="str">
        <x:v>Авторское издание открывается «Table-Talk 1918 года»; в тексте прямо указано, что действие начинается в марте 1918 года.</x:v>
      </x:c>
      <x:c r="Q55" s="15" t="str">
        <x:v>https://babook.org/drupal/sites/default/files/2025-06/NeProschayusNew1.pdf</x:v>
      </x:c>
      <x:c r="R55" s="15" t="str">
        <x:v>https://ru.wikipedia.org/wiki/Не_прощаюсь</x:v>
      </x:c>
      <x:c r="S55" s="15" t="str">
        <x:v>Последний роман основной серии. Фандорин выходит из комы после событий «Чёрного города»; роман соединяет цикл с «Смертью на брудершафт».</x:v>
      </x:c>
      <x:c r="T55" s="15" t="str">
        <x:v>самарский вокзал, поезд, четыре правды, бронепоезд, гражданская война</x:v>
      </x:c>
      <x:c r="U55" s="15" t="str">
        <x:v>основной</x:v>
      </x:c>
    </x:row>
    <x:row r="56">
      <x:c r="A56" s="15" t="str">
        <x:v>fandorin-not-goodbye-1921</x:v>
      </x:c>
      <x:c r="B56" s="15" t="str">
        <x:v>Борис Акунин</x:v>
      </x:c>
      <x:c r="C56" s="15" t="str">
        <x:v>Эраст Фандорин</x:v>
      </x:c>
      <x:c r="D56" s="15" t="str">
        <x:v>Не прощаюсь — эпилог</x:v>
      </x:c>
      <x:c r="E56" s="15" t="str">
        <x:v>Не прощаюсь</x:v>
      </x:c>
      <x:c r="F56" s="15" t="str">
        <x:v>роман, эпилог</x:v>
      </x:c>
      <x:c r="G56" s="15" t="n">
        <x:v>1921</x:v>
      </x:c>
      <x:c r="H56" s="15" t="n">
        <x:v>1921</x:v>
      </x:c>
      <x:c r="I56" s="15" t="n">
        <x:f>IF(OR(G56="",H56=""),"",H56-G56+1)</x:f>
        <x:v>1</x:v>
      </x:c>
      <x:c r="J56" s="15" t="str">
        <x:v>1921</x:v>
      </x:c>
      <x:c r="K56" s="15" t="str">
        <x:v>Швейцария, Женева</x:v>
      </x:c>
      <x:c r="L56" s="15" t="str">
        <x:v>Маса, Мона, сын Эраста Фандорина</x:v>
      </x:c>
      <x:c r="M56" s="15" t="str">
        <x:v>эпилог / послесобытийная линия</x:v>
      </x:c>
      <x:c r="N56" s="15" t="str">
        <x:v>Средняя</x:v>
      </x:c>
      <x:c r="O56" s="15" t="str">
        <x:v>Год эпилога подтверждён справочными источниками; проверить точную календарную отметку в полном тексте</x:v>
      </x:c>
      <x:c r="P56" s="15" t="str">
        <x:v>Справочные источники относят эпилог и завершающую линию романа к 1921 году.</x:v>
      </x:c>
      <x:c r="Q56" s="15" t="str">
        <x:v>https://babook.org/drupal/sites/default/files/2025-06/NeProschayusNew1.pdf</x:v>
      </x:c>
      <x:c r="R56" s="15" t="str">
        <x:v>https://ru.wikipedia.org/wiki/Не_прощаюсь</x:v>
      </x:c>
      <x:c r="S56" s="15" t="str">
        <x:v>Послесобытийная часть завершает фандоринскую линию и выводит Масу к самостоятельной биографии.</x:v>
      </x:c>
      <x:c r="T56" s="15" t="str">
        <x:v>Женева, семейная шкатулка, нефритовые чётки, ронин</x:v>
      </x:c>
      <x:c r="U56" s="15" t="str">
        <x:v>основной</x:v>
      </x:c>
    </x:row>
    <x:row r="57">
      <x:c r="A57" s="15" t="str">
        <x:v>fandorin-frog-basho</x:v>
      </x:c>
      <x:c r="B57" s="15" t="str">
        <x:v>Борис Акунин</x:v>
      </x:c>
      <x:c r="C57" s="15" t="str">
        <x:v>Эраст Фандорин</x:v>
      </x:c>
      <x:c r="D57" s="15" t="str">
        <x:v>Лягушка Басё</x:v>
      </x:c>
      <x:c r="E57" s="15" t="str">
        <x:v>Лягушка Басё</x:v>
      </x:c>
      <x:c r="F57" s="15" t="str">
        <x:v>интерактивный детектив</x:v>
      </x:c>
      <x:c r="G57" s="15"/>
      <x:c r="H57" s="15"/>
      <x:c r="I57" s="15" t="str">
        <x:f>IF(OR(G57="",H57=""),"",H57-G57+1)</x:f>
      </x:c>
      <x:c r="J57" s="15" t="str"/>
      <x:c r="K57" s="15" t="str">
        <x:v>Грузинская и еврейская ветви сюжета</x:v>
      </x:c>
      <x:c r="L57" s="15" t="str">
        <x:v>Эраст Фандорин, Ладо Чхартишвили, Арон Бразинский</x:v>
      </x:c>
      <x:c r="M57" s="15" t="str">
        <x:v>ветвящийся сюжет</x:v>
      </x:c>
      <x:c r="N57" s="15" t="str">
        <x:v>Низкая</x:v>
      </x:c>
      <x:c r="O57" s="15" t="str">
        <x:v>Требуется текстовая датировка</x:v>
      </x:c>
      <x:c r="P57" s="15" t="str">
        <x:v>Автор подтверждает участие Фандорина, но открытая карточка издания не указывает внутренний год.</x:v>
      </x:c>
      <x:c r="Q57" s="15" t="str">
        <x:v>https://babook.org/store/51-56</x:v>
      </x:c>
      <x:c r="R57" s="15" t="str">
        <x:v>https://babook.org/posts/317</x:v>
      </x:c>
      <x:c r="S57" s="15" t="str">
        <x:v>Пока вынесено из временной шкалы в очередь исследования.</x:v>
      </x:c>
      <x:c r="T57" s="15" t="str">
        <x:v>лягушка, старый пруд, Тбилиси, Брест-Литовск</x:v>
      </x:c>
      <x:c r="U57" s="15" t="str">
        <x:v>основной</x:v>
      </x:c>
    </x:row>
    <x:row r="58">
      <x:c r="A58" s="15" t="str">
        <x:v>masa-yama</x:v>
      </x:c>
      <x:c r="B58" s="15" t="str">
        <x:v>Борис Акунин</x:v>
      </x:c>
      <x:c r="C58" s="15" t="str">
        <x:v>Масахиро Сибата</x:v>
      </x:c>
      <x:c r="D58" s="15" t="str">
        <x:v>Яма</x:v>
      </x:c>
      <x:c r="E58" s="15" t="str">
        <x:v>Яма</x:v>
      </x:c>
      <x:c r="F58" s="15" t="str">
        <x:v>повесть</x:v>
      </x:c>
      <x:c r="G58" s="15" t="n">
        <x:v>1879</x:v>
      </x:c>
      <x:c r="H58" s="15" t="n">
        <x:v>1879</x:v>
      </x:c>
      <x:c r="I58" s="15" t="n">
        <x:f>IF(OR(G58="",H58=""),"",H58-G58+1)</x:f>
        <x:v>1</x:v>
      </x:c>
      <x:c r="J58" s="15" t="str">
        <x:v>1879</x:v>
      </x:c>
      <x:c r="K58" s="15" t="str">
        <x:v>Япония</x:v>
      </x:c>
      <x:c r="L58" s="15" t="str">
        <x:v>Эраст Фандорин, Маса</x:v>
      </x:c>
      <x:c r="M58" s="15" t="str">
        <x:v>основное действие</x:v>
      </x:c>
      <x:c r="N58" s="15" t="str">
        <x:v>Низкая</x:v>
      </x:c>
      <x:c r="O58" s="15" t="str">
        <x:v>Нужно установить точный год</x:v>
      </x:c>
      <x:c r="P58" s="15" t="str">
        <x:v>Произведение относится к раннему японскому периоду Фандорина; позиция на шкале рабочая.</x:v>
      </x:c>
      <x:c r="Q58" s="15" t="str">
        <x:v>https://babook.org/store/series/10</x:v>
      </x:c>
      <x:c r="R58" s="15" t="str"/>
      <x:c r="S58" s="15" t="str">
        <x:v>Будет проверено по полному тексту.</x:v>
      </x:c>
      <x:c r="T58" s="15" t="str">
        <x:v>яма, Япония, фонарь</x:v>
      </x:c>
      <x:c r="U58" s="15" t="str">
        <x:v>основной</x:v>
      </x:c>
    </x:row>
    <x:row r="59">
      <x:c r="A59" s="15" t="str">
        <x:v>masa-just</x:v>
      </x:c>
      <x:c r="B59" s="15" t="str">
        <x:v>Борис Акунин</x:v>
      </x:c>
      <x:c r="C59" s="15" t="str">
        <x:v>Масахиро Сибата</x:v>
      </x:c>
      <x:c r="D59" s="15" t="str">
        <x:v>Просто Маса</x:v>
      </x:c>
      <x:c r="E59" s="15" t="str">
        <x:v>Просто Маса</x:v>
      </x:c>
      <x:c r="F59" s="15" t="str">
        <x:v>роман</x:v>
      </x:c>
      <x:c r="G59" s="15" t="n">
        <x:v>1923</x:v>
      </x:c>
      <x:c r="H59" s="15" t="n">
        <x:v>1923</x:v>
      </x:c>
      <x:c r="I59" s="15" t="n">
        <x:f>IF(OR(G59="",H59=""),"",H59-G59+1)</x:f>
        <x:v>1</x:v>
      </x:c>
      <x:c r="J59" s="15" t="str">
        <x:v>1923</x:v>
      </x:c>
      <x:c r="K59" s="15" t="str">
        <x:v>Япония</x:v>
      </x:c>
      <x:c r="L59" s="15" t="str">
        <x:v>Масахиро Сибата</x:v>
      </x:c>
      <x:c r="M59" s="15" t="str">
        <x:v>основное действие</x:v>
      </x:c>
      <x:c r="N59" s="15" t="str">
        <x:v>Средняя</x:v>
      </x:c>
      <x:c r="O59" s="15" t="str">
        <x:v>Год требует прямой текстовой цитаты</x:v>
      </x:c>
      <x:c r="P59" s="15" t="str">
        <x:v>Поздняя самостоятельная биография Масы после событий фандоринского цикла.</x:v>
      </x:c>
      <x:c r="Q59" s="15" t="str">
        <x:v>https://babook.org/store/series/10</x:v>
      </x:c>
      <x:c r="R59" s="15" t="str"/>
      <x:c r="S59" s="15" t="str">
        <x:v>Самостоятельный роман о Масе без Фандорина.</x:v>
      </x:c>
      <x:c r="T59" s="15" t="str">
        <x:v>Токио, ронин, землетрясение</x:v>
      </x:c>
      <x:c r="U59" s="15" t="str">
        <x:v>основной</x:v>
      </x:c>
    </x:row>
    <x:row r="60">
      <x:c r="A60" s="15" t="str">
        <x:v>pelagia-1</x:v>
      </x:c>
      <x:c r="B60" s="15" t="str">
        <x:v>Борис Акунин</x:v>
      </x:c>
      <x:c r="C60" s="15" t="str">
        <x:v>Провинциальный детектив</x:v>
      </x:c>
      <x:c r="D60" s="15" t="str">
        <x:v>Пелагия и белый бульдог</x:v>
      </x:c>
      <x:c r="E60" s="15" t="str">
        <x:v>Пелагия и белый бульдог</x:v>
      </x:c>
      <x:c r="F60" s="15" t="str">
        <x:v>роман</x:v>
      </x:c>
      <x:c r="G60" s="15" t="n">
        <x:v>1896</x:v>
      </x:c>
      <x:c r="H60" s="15" t="n">
        <x:v>1896</x:v>
      </x:c>
      <x:c r="I60" s="15" t="n">
        <x:f>IF(OR(G60="",H60=""),"",H60-G60+1)</x:f>
        <x:v>1</x:v>
      </x:c>
      <x:c r="J60" s="15" t="str">
        <x:v>1896</x:v>
      </x:c>
      <x:c r="K60" s="15" t="str">
        <x:v>Заволжская губерния</x:v>
      </x:c>
      <x:c r="L60" s="15" t="str">
        <x:v>сестра Пелагия, владыка Митрофаний</x:v>
      </x:c>
      <x:c r="M60" s="15" t="str">
        <x:v>основное действие</x:v>
      </x:c>
      <x:c r="N60" s="15" t="str">
        <x:v>Низкая</x:v>
      </x:c>
      <x:c r="O60" s="15" t="str">
        <x:v>Последовательность установлена, годы условны</x:v>
      </x:c>
      <x:c r="P60" s="15" t="str">
        <x:v>Официальный каталог подтверждает состав трилогии; точные внутренние годы требуется извлечь из текстов.</x:v>
      </x:c>
      <x:c r="Q60" s="15" t="str">
        <x:v>https://babook.org/store/series/18</x:v>
      </x:c>
      <x:c r="R60" s="15" t="str"/>
      <x:c r="S60" s="15" t="str">
        <x:v>Рабочая позиция в конце XIX века.</x:v>
      </x:c>
      <x:c r="T60" s="15" t="str">
        <x:v>белый бульдог, усадьба, епископский дом</x:v>
      </x:c>
      <x:c r="U60" s="15" t="str">
        <x:v>основной</x:v>
      </x:c>
    </x:row>
    <x:row r="61">
      <x:c r="A61" s="15" t="str">
        <x:v>pelagia-2</x:v>
      </x:c>
      <x:c r="B61" s="15" t="str">
        <x:v>Борис Акунин</x:v>
      </x:c>
      <x:c r="C61" s="15" t="str">
        <x:v>Провинциальный детектив</x:v>
      </x:c>
      <x:c r="D61" s="15" t="str">
        <x:v>Пелагия и чёрный монах</x:v>
      </x:c>
      <x:c r="E61" s="15" t="str">
        <x:v>Пелагия и чёрный монах</x:v>
      </x:c>
      <x:c r="F61" s="15" t="str">
        <x:v>роман</x:v>
      </x:c>
      <x:c r="G61" s="15" t="n">
        <x:v>1897</x:v>
      </x:c>
      <x:c r="H61" s="15" t="n">
        <x:v>1897</x:v>
      </x:c>
      <x:c r="I61" s="15" t="n">
        <x:f>IF(OR(G61="",H61=""),"",H61-G61+1)</x:f>
        <x:v>1</x:v>
      </x:c>
      <x:c r="J61" s="15" t="str">
        <x:v>1897</x:v>
      </x:c>
      <x:c r="K61" s="15" t="str">
        <x:v>Заволжская губерния</x:v>
      </x:c>
      <x:c r="L61" s="15" t="str">
        <x:v>сестра Пелагия, владыка Митрофаний</x:v>
      </x:c>
      <x:c r="M61" s="15" t="str">
        <x:v>основное действие</x:v>
      </x:c>
      <x:c r="N61" s="15" t="str">
        <x:v>Низкая</x:v>
      </x:c>
      <x:c r="O61" s="15" t="str">
        <x:v>Последовательность установлена, годы условны</x:v>
      </x:c>
      <x:c r="P61" s="15" t="str">
        <x:v>Официальный каталог подтверждает состав трилогии; точные внутренние годы требуется извлечь из текстов.</x:v>
      </x:c>
      <x:c r="Q61" s="15" t="str">
        <x:v>https://babook.org/store/series/18</x:v>
      </x:c>
      <x:c r="R61" s="15" t="str"/>
      <x:c r="S61" s="15" t="str">
        <x:v>Рабочая позиция в конце XIX века.</x:v>
      </x:c>
      <x:c r="T61" s="15" t="str">
        <x:v>монастырь, остров, чёрная фигура</x:v>
      </x:c>
      <x:c r="U61" s="15" t="str">
        <x:v>основной</x:v>
      </x:c>
    </x:row>
    <x:row r="62">
      <x:c r="A62" s="15" t="str">
        <x:v>pelagia-3</x:v>
      </x:c>
      <x:c r="B62" s="15" t="str">
        <x:v>Борис Акунин</x:v>
      </x:c>
      <x:c r="C62" s="15" t="str">
        <x:v>Провинциальный детектив</x:v>
      </x:c>
      <x:c r="D62" s="15" t="str">
        <x:v>Пелагия и красный петух</x:v>
      </x:c>
      <x:c r="E62" s="15" t="str">
        <x:v>Пелагия и красный петух</x:v>
      </x:c>
      <x:c r="F62" s="15" t="str">
        <x:v>роман</x:v>
      </x:c>
      <x:c r="G62" s="15" t="n">
        <x:v>1898</x:v>
      </x:c>
      <x:c r="H62" s="15" t="n">
        <x:v>1898</x:v>
      </x:c>
      <x:c r="I62" s="15" t="n">
        <x:f>IF(OR(G62="",H62=""),"",H62-G62+1)</x:f>
        <x:v>1</x:v>
      </x:c>
      <x:c r="J62" s="15" t="str">
        <x:v>1898</x:v>
      </x:c>
      <x:c r="K62" s="15" t="str">
        <x:v>Россия и Святая земля</x:v>
      </x:c>
      <x:c r="L62" s="15" t="str">
        <x:v>сестра Пелагия, владыка Митрофаний</x:v>
      </x:c>
      <x:c r="M62" s="15" t="str">
        <x:v>основное действие</x:v>
      </x:c>
      <x:c r="N62" s="15" t="str">
        <x:v>Низкая</x:v>
      </x:c>
      <x:c r="O62" s="15" t="str">
        <x:v>Последовательность установлена, годы условны</x:v>
      </x:c>
      <x:c r="P62" s="15" t="str">
        <x:v>Официальный каталог подтверждает состав трилогии; точные внутренние годы требуется извлечь из текстов.</x:v>
      </x:c>
      <x:c r="Q62" s="15" t="str">
        <x:v>https://babook.org/store/series/18</x:v>
      </x:c>
      <x:c r="R62" s="15" t="str"/>
      <x:c r="S62" s="15" t="str">
        <x:v>Рабочая позиция в конце XIX века.</x:v>
      </x:c>
      <x:c r="T62" s="15" t="str">
        <x:v>паломничество, Святая земля, красный петух</x:v>
      </x:c>
      <x:c r="U62" s="15" t="str">
        <x:v>основной</x:v>
      </x:c>
    </x:row>
    <x:row r="63">
      <x:c r="A63" s="15" t="str">
        <x:v>play-1881</x:v>
      </x:c>
      <x:c r="B63" s="15" t="str">
        <x:v>Борис Акунин</x:v>
      </x:c>
      <x:c r="C63" s="15" t="str">
        <x:v>Пьесы</x:v>
      </x:c>
      <x:c r="D63" s="15" t="str">
        <x:v>1881</x:v>
      </x:c>
      <x:c r="E63" s="15" t="str">
        <x:v>1881</x:v>
      </x:c>
      <x:c r="F63" s="15" t="str">
        <x:v>пьеса</x:v>
      </x:c>
      <x:c r="G63" s="15" t="n">
        <x:v>1881</x:v>
      </x:c>
      <x:c r="H63" s="15" t="n">
        <x:v>1881</x:v>
      </x:c>
      <x:c r="I63" s="15" t="n">
        <x:f>IF(OR(G63="",H63=""),"",H63-G63+1)</x:f>
        <x:v>1</x:v>
      </x:c>
      <x:c r="J63" s="15" t="str">
        <x:v>1881</x:v>
      </x:c>
      <x:c r="K63" s="15" t="str">
        <x:v>Россия / литературное пространство</x:v>
      </x:c>
      <x:c r="L63" s="15" t="str">
        <x:v>зависит от пьесы</x:v>
      </x:c>
      <x:c r="M63" s="15" t="str">
        <x:v>поворотный момент российской истории</x:v>
      </x:c>
      <x:c r="N63" s="15" t="str">
        <x:v>Высокая</x:v>
      </x:c>
      <x:c r="O63" s="15" t="str">
        <x:v>Годовой уровень</x:v>
      </x:c>
      <x:c r="P63" s="15" t="str">
        <x:v>Состав серии и тематическая привязка подтверждены официальным каталогом.</x:v>
      </x:c>
      <x:c r="Q63" s="15" t="str">
        <x:v>https://babook.org/store</x:v>
      </x:c>
      <x:c r="R63" s="15" t="str"/>
      <x:c r="S63" s="15" t="str"/>
      <x:c r="T63" s="15" t="str">
        <x:v>сцена, занавес, маска</x:v>
      </x:c>
      <x:c r="U63" s="15" t="str">
        <x:v>дополнительный</x:v>
      </x:c>
    </x:row>
    <x:row r="64">
      <x:c r="A64" s="15" t="str">
        <x:v>play-yinyang</x:v>
      </x:c>
      <x:c r="B64" s="15" t="str">
        <x:v>Борис Акунин</x:v>
      </x:c>
      <x:c r="C64" s="15" t="str">
        <x:v>Пьесы</x:v>
      </x:c>
      <x:c r="D64" s="15" t="str">
        <x:v>Инь и Ян</x:v>
      </x:c>
      <x:c r="E64" s="15" t="str">
        <x:v>Инь и Ян</x:v>
      </x:c>
      <x:c r="F64" s="15" t="str">
        <x:v>пьеса</x:v>
      </x:c>
      <x:c r="G64" s="15" t="n">
        <x:v>1882</x:v>
      </x:c>
      <x:c r="H64" s="15" t="n">
        <x:v>1882</x:v>
      </x:c>
      <x:c r="I64" s="15" t="n">
        <x:f>IF(OR(G64="",H64=""),"",H64-G64+1)</x:f>
        <x:v>1</x:v>
      </x:c>
      <x:c r="J64" s="15" t="str">
        <x:v>1882</x:v>
      </x:c>
      <x:c r="K64" s="15" t="str">
        <x:v>Россия / литературное пространство</x:v>
      </x:c>
      <x:c r="L64" s="15" t="str">
        <x:v>зависит от пьесы</x:v>
      </x:c>
      <x:c r="M64" s="15" t="str">
        <x:v>две альтернативные версии одного события</x:v>
      </x:c>
      <x:c r="N64" s="15" t="str">
        <x:v>Высокая</x:v>
      </x:c>
      <x:c r="O64" s="15" t="str">
        <x:v>Годовой уровень</x:v>
      </x:c>
      <x:c r="P64" s="15" t="str">
        <x:v>Состав серии и тематическая привязка подтверждены официальным каталогом.</x:v>
      </x:c>
      <x:c r="Q64" s="15" t="str">
        <x:v>https://babook.org/store</x:v>
      </x:c>
      <x:c r="R64" s="15" t="str"/>
      <x:c r="S64" s="15" t="str"/>
      <x:c r="T64" s="15" t="str">
        <x:v>сцена, занавес, маска</x:v>
      </x:c>
      <x:c r="U64" s="15" t="str">
        <x:v>дополнительный</x:v>
      </x:c>
    </x:row>
    <x:row r="65">
      <x:c r="A65" s="15" t="str">
        <x:v>play-chaika</x:v>
      </x:c>
      <x:c r="B65" s="15" t="str">
        <x:v>Борис Акунин</x:v>
      </x:c>
      <x:c r="C65" s="15" t="str">
        <x:v>Пьесы</x:v>
      </x:c>
      <x:c r="D65" s="15" t="str">
        <x:v>Чайка</x:v>
      </x:c>
      <x:c r="E65" s="15" t="str">
        <x:v>Чайка</x:v>
      </x:c>
      <x:c r="F65" s="15" t="str">
        <x:v>пьеса</x:v>
      </x:c>
      <x:c r="G65" s="15" t="n">
        <x:v>1895</x:v>
      </x:c>
      <x:c r="H65" s="15" t="n">
        <x:v>1896</x:v>
      </x:c>
      <x:c r="I65" s="15" t="n">
        <x:f>IF(OR(G65="",H65=""),"",H65-G65+1)</x:f>
        <x:v>2</x:v>
      </x:c>
      <x:c r="J65" s="15" t="str">
        <x:v>1895–1896</x:v>
      </x:c>
      <x:c r="K65" s="15" t="str">
        <x:v>Россия / литературное пространство</x:v>
      </x:c>
      <x:c r="L65" s="15" t="str">
        <x:v>зависит от пьесы</x:v>
      </x:c>
      <x:c r="M65" s="15" t="str">
        <x:v>продолжение/детективная версия чеховского мира</x:v>
      </x:c>
      <x:c r="N65" s="15" t="str">
        <x:v>Высокая</x:v>
      </x:c>
      <x:c r="O65" s="15" t="str">
        <x:v>Годовой уровень</x:v>
      </x:c>
      <x:c r="P65" s="15" t="str">
        <x:v>Состав серии и тематическая привязка подтверждены официальным каталогом.</x:v>
      </x:c>
      <x:c r="Q65" s="15" t="str">
        <x:v>https://babook.org/store</x:v>
      </x:c>
      <x:c r="R65" s="15" t="str"/>
      <x:c r="S65" s="15" t="str"/>
      <x:c r="T65" s="15" t="str">
        <x:v>сцена, занавес, маска</x:v>
      </x:c>
      <x:c r="U65" s="15" t="str">
        <x:v>дополнительный</x:v>
      </x:c>
    </x:row>
    <x:row r="66">
      <x:c r="A66" s="15" t="str">
        <x:v>play-tragikom</x:v>
      </x:c>
      <x:c r="B66" s="15" t="str">
        <x:v>Борис Акунин</x:v>
      </x:c>
      <x:c r="C66" s="15" t="str">
        <x:v>Пьесы</x:v>
      </x:c>
      <x:c r="D66" s="15" t="str">
        <x:v>Трагедия Комедия</x:v>
      </x:c>
      <x:c r="E66" s="15" t="str">
        <x:v>Трагедия Комедия</x:v>
      </x:c>
      <x:c r="F66" s="15" t="str">
        <x:v>пьеса</x:v>
      </x:c>
      <x:c r="G66" s="15"/>
      <x:c r="H66" s="15"/>
      <x:c r="I66" s="15" t="str">
        <x:f>IF(OR(G66="",H66=""),"",H66-G66+1)</x:f>
      </x:c>
      <x:c r="J66" s="15" t="str"/>
      <x:c r="K66" s="15" t="str">
        <x:v>Россия / литературное пространство</x:v>
      </x:c>
      <x:c r="L66" s="15" t="str">
        <x:v>зависит от пьесы</x:v>
      </x:c>
      <x:c r="M66" s="15" t="str">
        <x:v>две пьесы с разными хронотопами</x:v>
      </x:c>
      <x:c r="N66" s="15" t="str">
        <x:v>Низкая</x:v>
      </x:c>
      <x:c r="O66" s="15" t="str">
        <x:v>Годовой уровень</x:v>
      </x:c>
      <x:c r="P66" s="15" t="str">
        <x:v>Состав серии и тематическая привязка подтверждены официальным каталогом.</x:v>
      </x:c>
      <x:c r="Q66" s="15" t="str">
        <x:v>https://babook.org/store</x:v>
      </x:c>
      <x:c r="R66" s="15" t="str"/>
      <x:c r="S66" s="15" t="str"/>
      <x:c r="T66" s="15" t="str">
        <x:v>сцена, занавес, маска</x:v>
      </x:c>
      <x:c r="U66" s="15" t="str">
        <x:v>дополнительный</x:v>
      </x:c>
    </x:row>
    <x:row r="67">
      <x:c r="A67" s="15" t="str">
        <x:v>bruder-1</x:v>
      </x:c>
      <x:c r="B67" s="15" t="str">
        <x:v>Борис Акунин</x:v>
      </x:c>
      <x:c r="C67" s="15" t="str">
        <x:v>Смерть на брудершафт</x:v>
      </x:c>
      <x:c r="D67" s="15" t="str">
        <x:v>Младенец и чёрт</x:v>
      </x:c>
      <x:c r="E67" s="15" t="str">
        <x:v>Младенец и чёрт</x:v>
      </x:c>
      <x:c r="F67" s="15" t="str">
        <x:v>кино-роман</x:v>
      </x:c>
      <x:c r="G67" s="15" t="n">
        <x:v>1914</x:v>
      </x:c>
      <x:c r="H67" s="15" t="n">
        <x:v>1914</x:v>
      </x:c>
      <x:c r="I67" s="15" t="n">
        <x:f>IF(OR(G67="",H67=""),"",H67-G67+1)</x:f>
        <x:v>1</x:v>
      </x:c>
      <x:c r="J67" s="15" t="str">
        <x:v>1914</x:v>
      </x:c>
      <x:c r="K67" s="15" t="str">
        <x:v>Россия и Европа</x:v>
      </x:c>
      <x:c r="L67" s="15" t="str">
        <x:v>Алексей Романов, Йозеф фон Теофельс</x:v>
      </x:c>
      <x:c r="M67" s="15" t="str">
        <x:v>комедия</x:v>
      </x:c>
      <x:c r="N67" s="15" t="str">
        <x:v>Высокая</x:v>
      </x:c>
      <x:c r="O67" s="15" t="str">
        <x:v>Годовой уровень</x:v>
      </x:c>
      <x:c r="P67" s="15" t="str">
        <x:v>Десять последовательных «фильм» охватывают Первую мировую войну и революцию.</x:v>
      </x:c>
      <x:c r="Q67" s="15" t="str">
        <x:v>https://babook.org/store/series/2</x:v>
      </x:c>
      <x:c r="R67" s="15" t="str"/>
      <x:c r="S67" s="15" t="str"/>
      <x:c r="T67" s="15" t="str">
        <x:v>шифр, форма, кинохроника, разведка</x:v>
      </x:c>
      <x:c r="U67" s="15" t="str">
        <x:v>основной</x:v>
      </x:c>
    </x:row>
    <x:row r="68">
      <x:c r="A68" s="15" t="str">
        <x:v>bruder-2</x:v>
      </x:c>
      <x:c r="B68" s="15" t="str">
        <x:v>Борис Акунин</x:v>
      </x:c>
      <x:c r="C68" s="15" t="str">
        <x:v>Смерть на брудершафт</x:v>
      </x:c>
      <x:c r="D68" s="15" t="str">
        <x:v>Мука разбитого сердца</x:v>
      </x:c>
      <x:c r="E68" s="15" t="str">
        <x:v>Мука разбитого сердца</x:v>
      </x:c>
      <x:c r="F68" s="15" t="str">
        <x:v>кино-роман</x:v>
      </x:c>
      <x:c r="G68" s="15" t="n">
        <x:v>1914</x:v>
      </x:c>
      <x:c r="H68" s="15" t="n">
        <x:v>1914</x:v>
      </x:c>
      <x:c r="I68" s="15" t="n">
        <x:f>IF(OR(G68="",H68=""),"",H68-G68+1)</x:f>
        <x:v>1</x:v>
      </x:c>
      <x:c r="J68" s="15" t="str">
        <x:v>1914</x:v>
      </x:c>
      <x:c r="K68" s="15" t="str">
        <x:v>Россия и Европа</x:v>
      </x:c>
      <x:c r="L68" s="15" t="str">
        <x:v>Алексей Романов, Йозеф фон Теофельс</x:v>
      </x:c>
      <x:c r="M68" s="15" t="str">
        <x:v>мелодрама</x:v>
      </x:c>
      <x:c r="N68" s="15" t="str">
        <x:v>Высокая</x:v>
      </x:c>
      <x:c r="O68" s="15" t="str">
        <x:v>Годовой уровень</x:v>
      </x:c>
      <x:c r="P68" s="15" t="str">
        <x:v>Десять последовательных «фильм» охватывают Первую мировую войну и революцию.</x:v>
      </x:c>
      <x:c r="Q68" s="15" t="str">
        <x:v>https://babook.org/store/series/2</x:v>
      </x:c>
      <x:c r="R68" s="15" t="str"/>
      <x:c r="S68" s="15" t="str"/>
      <x:c r="T68" s="15" t="str">
        <x:v>шифр, форма, кинохроника, разведка</x:v>
      </x:c>
      <x:c r="U68" s="15" t="str">
        <x:v>основной</x:v>
      </x:c>
    </x:row>
    <x:row r="69">
      <x:c r="A69" s="15" t="str">
        <x:v>bruder-4</x:v>
      </x:c>
      <x:c r="B69" s="15" t="str">
        <x:v>Борис Акунин</x:v>
      </x:c>
      <x:c r="C69" s="15" t="str">
        <x:v>Смерть на брудершафт</x:v>
      </x:c>
      <x:c r="D69" s="15" t="str">
        <x:v>Дети Луны</x:v>
      </x:c>
      <x:c r="E69" s="15" t="str">
        <x:v>Дети Луны</x:v>
      </x:c>
      <x:c r="F69" s="15" t="str">
        <x:v>кино-роман</x:v>
      </x:c>
      <x:c r="G69" s="15" t="n">
        <x:v>1915</x:v>
      </x:c>
      <x:c r="H69" s="15" t="n">
        <x:v>1915</x:v>
      </x:c>
      <x:c r="I69" s="15" t="n">
        <x:f>IF(OR(G69="",H69=""),"",H69-G69+1)</x:f>
        <x:v>1</x:v>
      </x:c>
      <x:c r="J69" s="15" t="str">
        <x:v>1915</x:v>
      </x:c>
      <x:c r="K69" s="15" t="str">
        <x:v>Россия и Европа</x:v>
      </x:c>
      <x:c r="L69" s="15" t="str">
        <x:v>Алексей Романов, Йозеф фон Теофельс</x:v>
      </x:c>
      <x:c r="M69" s="15" t="str">
        <x:v>декадентский этюд</x:v>
      </x:c>
      <x:c r="N69" s="15" t="str">
        <x:v>Высокая</x:v>
      </x:c>
      <x:c r="O69" s="15" t="str">
        <x:v>Годовой уровень</x:v>
      </x:c>
      <x:c r="P69" s="15" t="str">
        <x:v>Десять последовательных «фильм» охватывают Первую мировую войну и революцию.</x:v>
      </x:c>
      <x:c r="Q69" s="15" t="str">
        <x:v>https://babook.org/store/series/2</x:v>
      </x:c>
      <x:c r="R69" s="15" t="str"/>
      <x:c r="S69" s="15" t="str"/>
      <x:c r="T69" s="15" t="str">
        <x:v>шифр, форма, кинохроника, разведка</x:v>
      </x:c>
      <x:c r="U69" s="15" t="str">
        <x:v>основной</x:v>
      </x:c>
    </x:row>
    <x:row r="70">
      <x:c r="A70" s="15" t="str">
        <x:v>bruder-3</x:v>
      </x:c>
      <x:c r="B70" s="15" t="str">
        <x:v>Борис Акунин</x:v>
      </x:c>
      <x:c r="C70" s="15" t="str">
        <x:v>Смерть на брудершафт</x:v>
      </x:c>
      <x:c r="D70" s="15" t="str">
        <x:v>Летающий слон</x:v>
      </x:c>
      <x:c r="E70" s="15" t="str">
        <x:v>Летающий слон</x:v>
      </x:c>
      <x:c r="F70" s="15" t="str">
        <x:v>кино-роман</x:v>
      </x:c>
      <x:c r="G70" s="15" t="n">
        <x:v>1915</x:v>
      </x:c>
      <x:c r="H70" s="15" t="n">
        <x:v>1915</x:v>
      </x:c>
      <x:c r="I70" s="15" t="n">
        <x:f>IF(OR(G70="",H70=""),"",H70-G70+1)</x:f>
        <x:v>1</x:v>
      </x:c>
      <x:c r="J70" s="15" t="str">
        <x:v>1915</x:v>
      </x:c>
      <x:c r="K70" s="15" t="str">
        <x:v>Россия и Европа</x:v>
      </x:c>
      <x:c r="L70" s="15" t="str">
        <x:v>Алексей Романов, Йозеф фон Теофельс</x:v>
      </x:c>
      <x:c r="M70" s="15" t="str">
        <x:v>воздушные приключения</x:v>
      </x:c>
      <x:c r="N70" s="15" t="str">
        <x:v>Высокая</x:v>
      </x:c>
      <x:c r="O70" s="15" t="str">
        <x:v>Годовой уровень</x:v>
      </x:c>
      <x:c r="P70" s="15" t="str">
        <x:v>Десять последовательных «фильм» охватывают Первую мировую войну и революцию.</x:v>
      </x:c>
      <x:c r="Q70" s="15" t="str">
        <x:v>https://babook.org/store/series/2</x:v>
      </x:c>
      <x:c r="R70" s="15" t="str"/>
      <x:c r="S70" s="15" t="str"/>
      <x:c r="T70" s="15" t="str">
        <x:v>шифр, форма, кинохроника, разведка</x:v>
      </x:c>
      <x:c r="U70" s="15" t="str">
        <x:v>основной</x:v>
      </x:c>
    </x:row>
    <x:row r="71">
      <x:c r="A71" s="15" t="str">
        <x:v>bruder-6</x:v>
      </x:c>
      <x:c r="B71" s="15" t="str">
        <x:v>Борис Акунин</x:v>
      </x:c>
      <x:c r="C71" s="15" t="str">
        <x:v>Смерть на брудершафт</x:v>
      </x:c>
      <x:c r="D71" s="15" t="str">
        <x:v>Гром победы, раздавайся!</x:v>
      </x:c>
      <x:c r="E71" s="15" t="str">
        <x:v>Гром победы, раздавайся!</x:v>
      </x:c>
      <x:c r="F71" s="15" t="str">
        <x:v>кино-роман</x:v>
      </x:c>
      <x:c r="G71" s="15" t="n">
        <x:v>1916</x:v>
      </x:c>
      <x:c r="H71" s="15" t="n">
        <x:v>1916</x:v>
      </x:c>
      <x:c r="I71" s="15" t="n">
        <x:f>IF(OR(G71="",H71=""),"",H71-G71+1)</x:f>
        <x:v>1</x:v>
      </x:c>
      <x:c r="J71" s="15" t="str">
        <x:v>1916</x:v>
      </x:c>
      <x:c r="K71" s="15" t="str">
        <x:v>Россия и Европа</x:v>
      </x:c>
      <x:c r="L71" s="15" t="str">
        <x:v>Алексей Романов, Йозеф фон Теофельс</x:v>
      </x:c>
      <x:c r="M71" s="15" t="str">
        <x:v>фронтовая зарисовка</x:v>
      </x:c>
      <x:c r="N71" s="15" t="str">
        <x:v>Высокая</x:v>
      </x:c>
      <x:c r="O71" s="15" t="str">
        <x:v>Годовой уровень</x:v>
      </x:c>
      <x:c r="P71" s="15" t="str">
        <x:v>Десять последовательных «фильм» охватывают Первую мировую войну и революцию.</x:v>
      </x:c>
      <x:c r="Q71" s="15" t="str">
        <x:v>https://babook.org/store/series/2</x:v>
      </x:c>
      <x:c r="R71" s="15" t="str"/>
      <x:c r="S71" s="15" t="str"/>
      <x:c r="T71" s="15" t="str">
        <x:v>шифр, форма, кинохроника, разведка</x:v>
      </x:c>
      <x:c r="U71" s="15" t="str">
        <x:v>основной</x:v>
      </x:c>
    </x:row>
    <x:row r="72">
      <x:c r="A72" s="15" t="str">
        <x:v>bruder-5</x:v>
      </x:c>
      <x:c r="B72" s="15" t="str">
        <x:v>Борис Акунин</x:v>
      </x:c>
      <x:c r="C72" s="15" t="str">
        <x:v>Смерть на брудершафт</x:v>
      </x:c>
      <x:c r="D72" s="15" t="str">
        <x:v>Странный человек</x:v>
      </x:c>
      <x:c r="E72" s="15" t="str">
        <x:v>Странный человек</x:v>
      </x:c>
      <x:c r="F72" s="15" t="str">
        <x:v>кино-роман</x:v>
      </x:c>
      <x:c r="G72" s="15" t="n">
        <x:v>1916</x:v>
      </x:c>
      <x:c r="H72" s="15" t="n">
        <x:v>1916</x:v>
      </x:c>
      <x:c r="I72" s="15" t="n">
        <x:f>IF(OR(G72="",H72=""),"",H72-G72+1)</x:f>
        <x:v>1</x:v>
      </x:c>
      <x:c r="J72" s="15" t="str">
        <x:v>1916</x:v>
      </x:c>
      <x:c r="K72" s="15" t="str">
        <x:v>Россия и Европа</x:v>
      </x:c>
      <x:c r="L72" s="15" t="str">
        <x:v>Алексей Романов, Йозеф фон Теофельс</x:v>
      </x:c>
      <x:c r="M72" s="15" t="str">
        <x:v>мистическое</x:v>
      </x:c>
      <x:c r="N72" s="15" t="str">
        <x:v>Высокая</x:v>
      </x:c>
      <x:c r="O72" s="15" t="str">
        <x:v>Годовой уровень</x:v>
      </x:c>
      <x:c r="P72" s="15" t="str">
        <x:v>Десять последовательных «фильм» охватывают Первую мировую войну и революцию.</x:v>
      </x:c>
      <x:c r="Q72" s="15" t="str">
        <x:v>https://babook.org/store/series/2</x:v>
      </x:c>
      <x:c r="R72" s="15" t="str"/>
      <x:c r="S72" s="15" t="str"/>
      <x:c r="T72" s="15" t="str">
        <x:v>шифр, форма, кинохроника, разведка</x:v>
      </x:c>
      <x:c r="U72" s="15" t="str">
        <x:v>основной</x:v>
      </x:c>
    </x:row>
    <x:row r="73">
      <x:c r="A73" s="15" t="str">
        <x:v>bruder-7</x:v>
      </x:c>
      <x:c r="B73" s="15" t="str">
        <x:v>Борис Акунин</x:v>
      </x:c>
      <x:c r="C73" s="15" t="str">
        <x:v>Смерть на брудершафт</x:v>
      </x:c>
      <x:c r="D73" s="15" t="str">
        <x:v>«Мария», Мария…</x:v>
      </x:c>
      <x:c r="E73" s="15" t="str">
        <x:v>«Мария», Мария…</x:v>
      </x:c>
      <x:c r="F73" s="15" t="str">
        <x:v>кино-роман</x:v>
      </x:c>
      <x:c r="G73" s="15" t="n">
        <x:v>1917</x:v>
      </x:c>
      <x:c r="H73" s="15" t="n">
        <x:v>1917</x:v>
      </x:c>
      <x:c r="I73" s="15" t="n">
        <x:f>IF(OR(G73="",H73=""),"",H73-G73+1)</x:f>
        <x:v>1</x:v>
      </x:c>
      <x:c r="J73" s="15" t="str">
        <x:v>1917</x:v>
      </x:c>
      <x:c r="K73" s="15" t="str">
        <x:v>Россия и Европа</x:v>
      </x:c>
      <x:c r="L73" s="15" t="str">
        <x:v>Алексей Романов, Йозеф фон Теофельс</x:v>
      </x:c>
      <x:c r="M73" s="15" t="str">
        <x:v>морская быль</x:v>
      </x:c>
      <x:c r="N73" s="15" t="str">
        <x:v>Высокая</x:v>
      </x:c>
      <x:c r="O73" s="15" t="str">
        <x:v>Годовой уровень</x:v>
      </x:c>
      <x:c r="P73" s="15" t="str">
        <x:v>Десять последовательных «фильм» охватывают Первую мировую войну и революцию.</x:v>
      </x:c>
      <x:c r="Q73" s="15" t="str">
        <x:v>https://babook.org/store/series/2</x:v>
      </x:c>
      <x:c r="R73" s="15" t="str"/>
      <x:c r="S73" s="15" t="str"/>
      <x:c r="T73" s="15" t="str">
        <x:v>шифр, форма, кинохроника, разведка</x:v>
      </x:c>
      <x:c r="U73" s="15" t="str">
        <x:v>основной</x:v>
      </x:c>
    </x:row>
    <x:row r="74">
      <x:c r="A74" s="15" t="str">
        <x:v>bruder-8</x:v>
      </x:c>
      <x:c r="B74" s="15" t="str">
        <x:v>Борис Акунин</x:v>
      </x:c>
      <x:c r="C74" s="15" t="str">
        <x:v>Смерть на брудершафт</x:v>
      </x:c>
      <x:c r="D74" s="15" t="str">
        <x:v>Ничего святого</x:v>
      </x:c>
      <x:c r="E74" s="15" t="str">
        <x:v>Ничего святого</x:v>
      </x:c>
      <x:c r="F74" s="15" t="str">
        <x:v>кино-роман</x:v>
      </x:c>
      <x:c r="G74" s="15" t="n">
        <x:v>1917</x:v>
      </x:c>
      <x:c r="H74" s="15" t="n">
        <x:v>1917</x:v>
      </x:c>
      <x:c r="I74" s="15" t="n">
        <x:f>IF(OR(G74="",H74=""),"",H74-G74+1)</x:f>
        <x:v>1</x:v>
      </x:c>
      <x:c r="J74" s="15" t="str">
        <x:v>1917</x:v>
      </x:c>
      <x:c r="K74" s="15" t="str">
        <x:v>Россия и Европа</x:v>
      </x:c>
      <x:c r="L74" s="15" t="str">
        <x:v>Алексей Романов, Йозеф фон Теофельс</x:v>
      </x:c>
      <x:c r="M74" s="15" t="str">
        <x:v>разведывательный триллер</x:v>
      </x:c>
      <x:c r="N74" s="15" t="str">
        <x:v>Высокая</x:v>
      </x:c>
      <x:c r="O74" s="15" t="str">
        <x:v>Годовой уровень</x:v>
      </x:c>
      <x:c r="P74" s="15" t="str">
        <x:v>Десять последовательных «фильм» охватывают Первую мировую войну и революцию.</x:v>
      </x:c>
      <x:c r="Q74" s="15" t="str">
        <x:v>https://babook.org/store/series/2</x:v>
      </x:c>
      <x:c r="R74" s="15" t="str"/>
      <x:c r="S74" s="15" t="str"/>
      <x:c r="T74" s="15" t="str">
        <x:v>шифр, форма, кинохроника, разведка</x:v>
      </x:c>
      <x:c r="U74" s="15" t="str">
        <x:v>основной</x:v>
      </x:c>
    </x:row>
    <x:row r="75">
      <x:c r="A75" s="15" t="str">
        <x:v>bruder-10</x:v>
      </x:c>
      <x:c r="B75" s="15" t="str">
        <x:v>Борис Акунин</x:v>
      </x:c>
      <x:c r="C75" s="15" t="str">
        <x:v>Смерть на брудершафт</x:v>
      </x:c>
      <x:c r="D75" s="15" t="str">
        <x:v>Батальон ангелов</x:v>
      </x:c>
      <x:c r="E75" s="15" t="str">
        <x:v>Батальон ангелов</x:v>
      </x:c>
      <x:c r="F75" s="15" t="str">
        <x:v>кино-роман</x:v>
      </x:c>
      <x:c r="G75" s="15" t="n">
        <x:v>1918</x:v>
      </x:c>
      <x:c r="H75" s="15" t="n">
        <x:v>1918</x:v>
      </x:c>
      <x:c r="I75" s="15" t="n">
        <x:f>IF(OR(G75="",H75=""),"",H75-G75+1)</x:f>
        <x:v>1</x:v>
      </x:c>
      <x:c r="J75" s="15" t="str">
        <x:v>1918</x:v>
      </x:c>
      <x:c r="K75" s="15" t="str">
        <x:v>Россия и Европа</x:v>
      </x:c>
      <x:c r="L75" s="15" t="str">
        <x:v>Алексей Романов, Йозеф фон Теофельс</x:v>
      </x:c>
      <x:c r="M75" s="15" t="str">
        <x:v>апокалиптическое</x:v>
      </x:c>
      <x:c r="N75" s="15" t="str">
        <x:v>Высокая</x:v>
      </x:c>
      <x:c r="O75" s="15" t="str">
        <x:v>Годовой уровень</x:v>
      </x:c>
      <x:c r="P75" s="15" t="str">
        <x:v>Десять последовательных «фильм» охватывают Первую мировую войну и революцию.</x:v>
      </x:c>
      <x:c r="Q75" s="15" t="str">
        <x:v>https://babook.org/store/series/2</x:v>
      </x:c>
      <x:c r="R75" s="15" t="str"/>
      <x:c r="S75" s="15" t="str"/>
      <x:c r="T75" s="15" t="str">
        <x:v>шифр, форма, кинохроника, разведка</x:v>
      </x:c>
      <x:c r="U75" s="15" t="str">
        <x:v>основной</x:v>
      </x:c>
    </x:row>
    <x:row r="76">
      <x:c r="A76" s="15" t="str">
        <x:v>bruder-9</x:v>
      </x:c>
      <x:c r="B76" s="15" t="str">
        <x:v>Борис Акунин</x:v>
      </x:c>
      <x:c r="C76" s="15" t="str">
        <x:v>Смерть на брудершафт</x:v>
      </x:c>
      <x:c r="D76" s="15" t="str">
        <x:v>Операция «Транзит»</x:v>
      </x:c>
      <x:c r="E76" s="15" t="str">
        <x:v>Операция «Транзит»</x:v>
      </x:c>
      <x:c r="F76" s="15" t="str">
        <x:v>кино-роман</x:v>
      </x:c>
      <x:c r="G76" s="15" t="n">
        <x:v>1918</x:v>
      </x:c>
      <x:c r="H76" s="15" t="n">
        <x:v>1918</x:v>
      </x:c>
      <x:c r="I76" s="15" t="n">
        <x:f>IF(OR(G76="",H76=""),"",H76-G76+1)</x:f>
        <x:v>1</x:v>
      </x:c>
      <x:c r="J76" s="15" t="str">
        <x:v>1918</x:v>
      </x:c>
      <x:c r="K76" s="15" t="str">
        <x:v>Россия и Европа</x:v>
      </x:c>
      <x:c r="L76" s="15" t="str">
        <x:v>Алексей Романов, Йозеф фон Теофельс</x:v>
      </x:c>
      <x:c r="M76" s="15" t="str">
        <x:v>предапокалиптическое</x:v>
      </x:c>
      <x:c r="N76" s="15" t="str">
        <x:v>Высокая</x:v>
      </x:c>
      <x:c r="O76" s="15" t="str">
        <x:v>Годовой уровень</x:v>
      </x:c>
      <x:c r="P76" s="15" t="str">
        <x:v>Десять последовательных «фильм» охватывают Первую мировую войну и революцию.</x:v>
      </x:c>
      <x:c r="Q76" s="15" t="str">
        <x:v>https://babook.org/store/series/2</x:v>
      </x:c>
      <x:c r="R76" s="15" t="str"/>
      <x:c r="S76" s="15" t="str"/>
      <x:c r="T76" s="15" t="str">
        <x:v>шифр, форма, кинохроника, разведка</x:v>
      </x:c>
      <x:c r="U76" s="15" t="str">
        <x:v>основной</x:v>
      </x:c>
    </x:row>
    <x:row r="77">
      <x:c r="A77" s="15" t="str">
        <x:v>family-1</x:v>
      </x:c>
      <x:c r="B77" s="15" t="str">
        <x:v>Борис Акунин</x:v>
      </x:c>
      <x:c r="C77" s="15" t="str">
        <x:v>Семейный альбом</x:v>
      </x:c>
      <x:c r="D77" s="15" t="str">
        <x:v>Аристономия</x:v>
      </x:c>
      <x:c r="E77" s="15" t="str">
        <x:v>Аристономия</x:v>
      </x:c>
      <x:c r="F77" s="15" t="str">
        <x:v>роман</x:v>
      </x:c>
      <x:c r="G77" s="15" t="n">
        <x:v>1917</x:v>
      </x:c>
      <x:c r="H77" s="15" t="n">
        <x:v>1920</x:v>
      </x:c>
      <x:c r="I77" s="15" t="n">
        <x:f>IF(OR(G77="",H77=""),"",H77-G77+1)</x:f>
        <x:v>4</x:v>
      </x:c>
      <x:c r="J77" s="15" t="str">
        <x:v>1917–1920</x:v>
      </x:c>
      <x:c r="K77" s="15" t="str">
        <x:v>Россия / СССР</x:v>
      </x:c>
      <x:c r="L77" s="15" t="str">
        <x:v>семья Клобуковых и связанные поколения</x:v>
      </x:c>
      <x:c r="M77" s="15" t="str">
        <x:v>семейная сага</x:v>
      </x:c>
      <x:c r="N77" s="15" t="str">
        <x:v>Средняя</x:v>
      </x:c>
      <x:c r="O77" s="15" t="str">
        <x:v>Десятилетие подтверждено официальным описанием</x:v>
      </x:c>
      <x:c r="P77" s="15" t="str">
        <x:v>Официальный каталог прямо связывает каждый том с соответствующей исторической эпохой.</x:v>
      </x:c>
      <x:c r="Q77" s="15" t="str">
        <x:v>https://babook.org/store/series/15</x:v>
      </x:c>
      <x:c r="R77" s="15" t="str"/>
      <x:c r="S77" s="15" t="str">
        <x:v>В следующем проходе роман будет разбит на части и точные годы.</x:v>
      </x:c>
      <x:c r="T77" s="15" t="str">
        <x:v>гражданская война</x:v>
      </x:c>
      <x:c r="U77" s="15" t="str">
        <x:v>основной</x:v>
      </x:c>
    </x:row>
    <x:row r="78">
      <x:c r="A78" s="15" t="str">
        <x:v>family-2</x:v>
      </x:c>
      <x:c r="B78" s="15" t="str">
        <x:v>Борис Акунин</x:v>
      </x:c>
      <x:c r="C78" s="15" t="str">
        <x:v>Семейный альбом</x:v>
      </x:c>
      <x:c r="D78" s="15" t="str">
        <x:v>Другой путь</x:v>
      </x:c>
      <x:c r="E78" s="15" t="str">
        <x:v>Другой путь</x:v>
      </x:c>
      <x:c r="F78" s="15" t="str">
        <x:v>роман</x:v>
      </x:c>
      <x:c r="G78" s="15" t="n">
        <x:v>1921</x:v>
      </x:c>
      <x:c r="H78" s="15" t="n">
        <x:v>1929</x:v>
      </x:c>
      <x:c r="I78" s="15" t="n">
        <x:f>IF(OR(G78="",H78=""),"",H78-G78+1)</x:f>
        <x:v>9</x:v>
      </x:c>
      <x:c r="J78" s="15" t="str">
        <x:v>1921–1929</x:v>
      </x:c>
      <x:c r="K78" s="15" t="str">
        <x:v>Россия / СССР</x:v>
      </x:c>
      <x:c r="L78" s="15" t="str">
        <x:v>семья Клобуковых и связанные поколения</x:v>
      </x:c>
      <x:c r="M78" s="15" t="str">
        <x:v>семейная сага</x:v>
      </x:c>
      <x:c r="N78" s="15" t="str">
        <x:v>Средняя</x:v>
      </x:c>
      <x:c r="O78" s="15" t="str">
        <x:v>Десятилетие подтверждено официальным описанием</x:v>
      </x:c>
      <x:c r="P78" s="15" t="str">
        <x:v>Официальный каталог прямо связывает каждый том с соответствующей исторической эпохой.</x:v>
      </x:c>
      <x:c r="Q78" s="15" t="str">
        <x:v>https://babook.org/store/series/15</x:v>
      </x:c>
      <x:c r="R78" s="15" t="str"/>
      <x:c r="S78" s="15" t="str">
        <x:v>В следующем проходе роман будет разбит на части и точные годы.</x:v>
      </x:c>
      <x:c r="T78" s="15" t="str">
        <x:v>двадцатые годы</x:v>
      </x:c>
      <x:c r="U78" s="15" t="str">
        <x:v>основной</x:v>
      </x:c>
    </x:row>
    <x:row r="79">
      <x:c r="A79" s="15" t="str">
        <x:v>family-3</x:v>
      </x:c>
      <x:c r="B79" s="15" t="str">
        <x:v>Борис Акунин</x:v>
      </x:c>
      <x:c r="C79" s="15" t="str">
        <x:v>Семейный альбом</x:v>
      </x:c>
      <x:c r="D79" s="15" t="str">
        <x:v>Счастливая Россия</x:v>
      </x:c>
      <x:c r="E79" s="15" t="str">
        <x:v>Счастливая Россия</x:v>
      </x:c>
      <x:c r="F79" s="15" t="str">
        <x:v>роман</x:v>
      </x:c>
      <x:c r="G79" s="15" t="n">
        <x:v>1930</x:v>
      </x:c>
      <x:c r="H79" s="15" t="n">
        <x:v>1939</x:v>
      </x:c>
      <x:c r="I79" s="15" t="n">
        <x:f>IF(OR(G79="",H79=""),"",H79-G79+1)</x:f>
        <x:v>10</x:v>
      </x:c>
      <x:c r="J79" s="15" t="str">
        <x:v>1930–1939</x:v>
      </x:c>
      <x:c r="K79" s="15" t="str">
        <x:v>Россия / СССР</x:v>
      </x:c>
      <x:c r="L79" s="15" t="str">
        <x:v>семья Клобуковых и связанные поколения</x:v>
      </x:c>
      <x:c r="M79" s="15" t="str">
        <x:v>семейная сага</x:v>
      </x:c>
      <x:c r="N79" s="15" t="str">
        <x:v>Средняя</x:v>
      </x:c>
      <x:c r="O79" s="15" t="str">
        <x:v>Десятилетие подтверждено официальным описанием</x:v>
      </x:c>
      <x:c r="P79" s="15" t="str">
        <x:v>Официальный каталог прямо связывает каждый том с соответствующей исторической эпохой.</x:v>
      </x:c>
      <x:c r="Q79" s="15" t="str">
        <x:v>https://babook.org/store/series/15</x:v>
      </x:c>
      <x:c r="R79" s="15" t="str"/>
      <x:c r="S79" s="15" t="str">
        <x:v>В следующем проходе роман будет разбит на части и точные годы.</x:v>
      </x:c>
      <x:c r="T79" s="15" t="str">
        <x:v>тридцатые годы, утопия</x:v>
      </x:c>
      <x:c r="U79" s="15" t="str">
        <x:v>основной</x:v>
      </x:c>
    </x:row>
    <x:row r="80">
      <x:c r="A80" s="15" t="str">
        <x:v>family-4</x:v>
      </x:c>
      <x:c r="B80" s="15" t="str">
        <x:v>Борис Акунин</x:v>
      </x:c>
      <x:c r="C80" s="15" t="str">
        <x:v>Семейный альбом</x:v>
      </x:c>
      <x:c r="D80" s="15" t="str">
        <x:v>Трезориум</x:v>
      </x:c>
      <x:c r="E80" s="15" t="str">
        <x:v>Трезориум</x:v>
      </x:c>
      <x:c r="F80" s="15" t="str">
        <x:v>роман</x:v>
      </x:c>
      <x:c r="G80" s="15" t="n">
        <x:v>1941</x:v>
      </x:c>
      <x:c r="H80" s="15" t="n">
        <x:v>1945</x:v>
      </x:c>
      <x:c r="I80" s="15" t="n">
        <x:f>IF(OR(G80="",H80=""),"",H80-G80+1)</x:f>
        <x:v>5</x:v>
      </x:c>
      <x:c r="J80" s="15" t="str">
        <x:v>1941–1945</x:v>
      </x:c>
      <x:c r="K80" s="15" t="str">
        <x:v>Россия / СССР</x:v>
      </x:c>
      <x:c r="L80" s="15" t="str">
        <x:v>семья Клобуковых и связанные поколения</x:v>
      </x:c>
      <x:c r="M80" s="15" t="str">
        <x:v>семейная сага</x:v>
      </x:c>
      <x:c r="N80" s="15" t="str">
        <x:v>Средняя</x:v>
      </x:c>
      <x:c r="O80" s="15" t="str">
        <x:v>Десятилетие подтверждено официальным описанием</x:v>
      </x:c>
      <x:c r="P80" s="15" t="str">
        <x:v>Официальный каталог прямо связывает каждый том с соответствующей исторической эпохой.</x:v>
      </x:c>
      <x:c r="Q80" s="15" t="str">
        <x:v>https://babook.org/store/series/15</x:v>
      </x:c>
      <x:c r="R80" s="15" t="str"/>
      <x:c r="S80" s="15" t="str">
        <x:v>В следующем проходе роман будет разбит на части и точные годы.</x:v>
      </x:c>
      <x:c r="T80" s="15" t="str">
        <x:v>война, детский интернат</x:v>
      </x:c>
      <x:c r="U80" s="15" t="str">
        <x:v>основной</x:v>
      </x:c>
    </x:row>
    <x:row r="81">
      <x:c r="A81" s="15" t="str">
        <x:v>family-5</x:v>
      </x:c>
      <x:c r="B81" s="15" t="str">
        <x:v>Борис Акунин</x:v>
      </x:c>
      <x:c r="C81" s="15" t="str">
        <x:v>Семейный альбом</x:v>
      </x:c>
      <x:c r="D81" s="15" t="str">
        <x:v>Медвежатница</x:v>
      </x:c>
      <x:c r="E81" s="15" t="str">
        <x:v>Медвежатница</x:v>
      </x:c>
      <x:c r="F81" s="15" t="str">
        <x:v>роман</x:v>
      </x:c>
      <x:c r="G81" s="15" t="n">
        <x:v>1950</x:v>
      </x:c>
      <x:c r="H81" s="15" t="n">
        <x:v>1959</x:v>
      </x:c>
      <x:c r="I81" s="15" t="n">
        <x:f>IF(OR(G81="",H81=""),"",H81-G81+1)</x:f>
        <x:v>10</x:v>
      </x:c>
      <x:c r="J81" s="15" t="str">
        <x:v>1950–1959</x:v>
      </x:c>
      <x:c r="K81" s="15" t="str">
        <x:v>Россия / СССР</x:v>
      </x:c>
      <x:c r="L81" s="15" t="str">
        <x:v>семья Клобуковых и связанные поколения</x:v>
      </x:c>
      <x:c r="M81" s="15" t="str">
        <x:v>семейная сага</x:v>
      </x:c>
      <x:c r="N81" s="15" t="str">
        <x:v>Средняя</x:v>
      </x:c>
      <x:c r="O81" s="15" t="str">
        <x:v>Десятилетие подтверждено официальным описанием</x:v>
      </x:c>
      <x:c r="P81" s="15" t="str">
        <x:v>Официальный каталог прямо связывает каждый том с соответствующей исторической эпохой.</x:v>
      </x:c>
      <x:c r="Q81" s="15" t="str">
        <x:v>https://babook.org/store/series/15</x:v>
      </x:c>
      <x:c r="R81" s="15" t="str"/>
      <x:c r="S81" s="15" t="str">
        <x:v>В следующем проходе роман будет разбит на части и точные годы.</x:v>
      </x:c>
      <x:c r="T81" s="15" t="str">
        <x:v>пятидесятые годы</x:v>
      </x:c>
      <x:c r="U81" s="15" t="str">
        <x:v>основной</x:v>
      </x:c>
    </x:row>
    <x:row r="82">
      <x:c r="A82" s="15" t="str">
        <x:v>family-6</x:v>
      </x:c>
      <x:c r="B82" s="15" t="str">
        <x:v>Борис Акунин</x:v>
      </x:c>
      <x:c r="C82" s="15" t="str">
        <x:v>Семейный альбом</x:v>
      </x:c>
      <x:c r="D82" s="15" t="str">
        <x:v>Собачья смерть</x:v>
      </x:c>
      <x:c r="E82" s="15" t="str">
        <x:v>Собачья смерть</x:v>
      </x:c>
      <x:c r="F82" s="15" t="str">
        <x:v>роман</x:v>
      </x:c>
      <x:c r="G82" s="15" t="n">
        <x:v>1960</x:v>
      </x:c>
      <x:c r="H82" s="15" t="n">
        <x:v>1969</x:v>
      </x:c>
      <x:c r="I82" s="15" t="n">
        <x:f>IF(OR(G82="",H82=""),"",H82-G82+1)</x:f>
        <x:v>10</x:v>
      </x:c>
      <x:c r="J82" s="15" t="str">
        <x:v>1960–1969</x:v>
      </x:c>
      <x:c r="K82" s="15" t="str">
        <x:v>Россия / СССР</x:v>
      </x:c>
      <x:c r="L82" s="15" t="str">
        <x:v>семья Клобуковых и связанные поколения</x:v>
      </x:c>
      <x:c r="M82" s="15" t="str">
        <x:v>семейная сага</x:v>
      </x:c>
      <x:c r="N82" s="15" t="str">
        <x:v>Средняя</x:v>
      </x:c>
      <x:c r="O82" s="15" t="str">
        <x:v>Десятилетие подтверждено официальным описанием</x:v>
      </x:c>
      <x:c r="P82" s="15" t="str">
        <x:v>Официальный каталог прямо связывает каждый том с соответствующей исторической эпохой.</x:v>
      </x:c>
      <x:c r="Q82" s="15" t="str">
        <x:v>https://babook.org/store/series/15</x:v>
      </x:c>
      <x:c r="R82" s="15" t="str"/>
      <x:c r="S82" s="15" t="str">
        <x:v>В следующем проходе роман будет разбит на части и точные годы.</x:v>
      </x:c>
      <x:c r="T82" s="15" t="str">
        <x:v>шестидесятые годы</x:v>
      </x:c>
      <x:c r="U82" s="15" t="str">
        <x:v>основной</x:v>
      </x:c>
    </x:row>
    <x:row r="83">
      <x:c r="A83" s="15" t="str">
        <x:v>family-7</x:v>
      </x:c>
      <x:c r="B83" s="15" t="str">
        <x:v>Борис Акунин</x:v>
      </x:c>
      <x:c r="C83" s="15" t="str">
        <x:v>Семейный альбом</x:v>
      </x:c>
      <x:c r="D83" s="15" t="str">
        <x:v>На санях</x:v>
      </x:c>
      <x:c r="E83" s="15" t="str">
        <x:v>На санях</x:v>
      </x:c>
      <x:c r="F83" s="15" t="str">
        <x:v>роман</x:v>
      </x:c>
      <x:c r="G83" s="15" t="n">
        <x:v>1970</x:v>
      </x:c>
      <x:c r="H83" s="15" t="n">
        <x:v>1979</x:v>
      </x:c>
      <x:c r="I83" s="15" t="n">
        <x:f>IF(OR(G83="",H83=""),"",H83-G83+1)</x:f>
        <x:v>10</x:v>
      </x:c>
      <x:c r="J83" s="15" t="str">
        <x:v>1970–1979</x:v>
      </x:c>
      <x:c r="K83" s="15" t="str">
        <x:v>Россия / СССР</x:v>
      </x:c>
      <x:c r="L83" s="15" t="str">
        <x:v>семья Клобуковых и связанные поколения</x:v>
      </x:c>
      <x:c r="M83" s="15" t="str">
        <x:v>семейная сага</x:v>
      </x:c>
      <x:c r="N83" s="15" t="str">
        <x:v>Средняя</x:v>
      </x:c>
      <x:c r="O83" s="15" t="str">
        <x:v>Десятилетие подтверждено официальным описанием</x:v>
      </x:c>
      <x:c r="P83" s="15" t="str">
        <x:v>Официальный каталог прямо связывает каждый том с соответствующей исторической эпохой.</x:v>
      </x:c>
      <x:c r="Q83" s="15" t="str">
        <x:v>https://babook.org/store/series/15</x:v>
      </x:c>
      <x:c r="R83" s="15" t="str"/>
      <x:c r="S83" s="15" t="str">
        <x:v>В следующем проходе роман будет разбит на части и точные годы.</x:v>
      </x:c>
      <x:c r="T83" s="15" t="str">
        <x:v>семидесятые годы</x:v>
      </x:c>
      <x:c r="U83" s="15" t="str">
        <x:v>основной</x:v>
      </x:c>
    </x:row>
    <x:row r="84">
      <x:c r="A84" s="15" t="str">
        <x:v>genres-quest-b</x:v>
      </x:c>
      <x:c r="B84" s="15" t="str">
        <x:v>Борис Акунин</x:v>
      </x:c>
      <x:c r="C84" s="15" t="str">
        <x:v>Жанры и пограничная проза</x:v>
      </x:c>
      <x:c r="D84" s="15" t="str">
        <x:v>Квест — историческая линия</x:v>
      </x:c>
      <x:c r="E84" s="15" t="str">
        <x:v>Квест — историческая линия</x:v>
      </x:c>
      <x:c r="F84" s="15" t="str">
        <x:v>роман / повесть / сборник</x:v>
      </x:c>
      <x:c r="G84" s="15" t="n">
        <x:v>1812</x:v>
      </x:c>
      <x:c r="H84" s="15" t="n">
        <x:v>1812</x:v>
      </x:c>
      <x:c r="I84" s="15" t="n">
        <x:f>IF(OR(G84="",H84=""),"",H84-G84+1)</x:f>
        <x:v>1</x:v>
      </x:c>
      <x:c r="J84" s="15" t="str">
        <x:v>1812</x:v>
      </x:c>
      <x:c r="K84" s="15" t="str">
        <x:v>Россия</x:v>
      </x:c>
      <x:c r="L84" s="15" t="str">
        <x:v>зависит от произведения</x:v>
      </x:c>
      <x:c r="M84" s="15" t="str">
        <x:v>жанровый эксперимент</x:v>
      </x:c>
      <x:c r="N84" s="15" t="str">
        <x:v>Низкая</x:v>
      </x:c>
      <x:c r="O84" s="15" t="str">
        <x:v>Предварительный макропласт</x:v>
      </x:c>
      <x:c r="P84" s="15" t="str">
        <x:v>Состав серии подтверждён актуальным официальным каталогом; внутренние даты требуют отдельного исследования.</x:v>
      </x:c>
      <x:c r="Q84" s="15" t="str">
        <x:v>https://babook.org/store/series/3</x:v>
      </x:c>
      <x:c r="R84" s="15" t="str"/>
      <x:c r="S84" s="15" t="str"/>
      <x:c r="T84" s="15" t="str">
        <x:v>Наполеоновская эпоха, код</x:v>
      </x:c>
      <x:c r="U84" s="15" t="str">
        <x:v>пограничный</x:v>
      </x:c>
    </x:row>
    <x:row r="85">
      <x:c r="A85" s="15" t="str">
        <x:v>genres-quest-a</x:v>
      </x:c>
      <x:c r="B85" s="15" t="str">
        <x:v>Борис Акунин</x:v>
      </x:c>
      <x:c r="C85" s="15" t="str">
        <x:v>Жанры и пограничная проза</x:v>
      </x:c>
      <x:c r="D85" s="15" t="str">
        <x:v>Квест — советская линия</x:v>
      </x:c>
      <x:c r="E85" s="15" t="str">
        <x:v>Квест — советская линия</x:v>
      </x:c>
      <x:c r="F85" s="15" t="str">
        <x:v>роман / повесть / сборник</x:v>
      </x:c>
      <x:c r="G85" s="15" t="n">
        <x:v>1930</x:v>
      </x:c>
      <x:c r="H85" s="15" t="n">
        <x:v>1930</x:v>
      </x:c>
      <x:c r="I85" s="15" t="n">
        <x:f>IF(OR(G85="",H85=""),"",H85-G85+1)</x:f>
        <x:v>1</x:v>
      </x:c>
      <x:c r="J85" s="15" t="str">
        <x:v>1930</x:v>
      </x:c>
      <x:c r="K85" s="15" t="str">
        <x:v>СССР</x:v>
      </x:c>
      <x:c r="L85" s="15" t="str">
        <x:v>зависит от произведения</x:v>
      </x:c>
      <x:c r="M85" s="15" t="str">
        <x:v>жанровый эксперимент</x:v>
      </x:c>
      <x:c r="N85" s="15" t="str">
        <x:v>Средняя</x:v>
      </x:c>
      <x:c r="O85" s="15" t="str">
        <x:v>Предварительный макропласт</x:v>
      </x:c>
      <x:c r="P85" s="15" t="str">
        <x:v>Состав серии подтверждён актуальным официальным каталогом; внутренние даты требуют отдельного исследования.</x:v>
      </x:c>
      <x:c r="Q85" s="15" t="str">
        <x:v>https://babook.org/store/series/3</x:v>
      </x:c>
      <x:c r="R85" s="15" t="str"/>
      <x:c r="S85" s="15" t="str"/>
      <x:c r="T85" s="15" t="str">
        <x:v>игра, лаборатория, код</x:v>
      </x:c>
      <x:c r="U85" s="15" t="str">
        <x:v>пограничный</x:v>
      </x:c>
    </x:row>
    <x:row r="86">
      <x:c r="A86" s="15" t="str">
        <x:v>genres-spy</x:v>
      </x:c>
      <x:c r="B86" s="15" t="str">
        <x:v>Борис Акунин</x:v>
      </x:c>
      <x:c r="C86" s="15" t="str">
        <x:v>Жанры и пограничная проза</x:v>
      </x:c>
      <x:c r="D86" s="15" t="str">
        <x:v>Шпионский роман</x:v>
      </x:c>
      <x:c r="E86" s="15" t="str">
        <x:v>Шпионский роман</x:v>
      </x:c>
      <x:c r="F86" s="15" t="str">
        <x:v>роман / повесть / сборник</x:v>
      </x:c>
      <x:c r="G86" s="15" t="n">
        <x:v>1941</x:v>
      </x:c>
      <x:c r="H86" s="15" t="n">
        <x:v>1941</x:v>
      </x:c>
      <x:c r="I86" s="15" t="n">
        <x:f>IF(OR(G86="",H86=""),"",H86-G86+1)</x:f>
        <x:v>1</x:v>
      </x:c>
      <x:c r="J86" s="15" t="str">
        <x:v>1941</x:v>
      </x:c>
      <x:c r="K86" s="15" t="str">
        <x:v>СССР накануне войны</x:v>
      </x:c>
      <x:c r="L86" s="15" t="str">
        <x:v>зависит от произведения</x:v>
      </x:c>
      <x:c r="M86" s="15" t="str">
        <x:v>жанровый эксперимент</x:v>
      </x:c>
      <x:c r="N86" s="15" t="str">
        <x:v>Высокая</x:v>
      </x:c>
      <x:c r="O86" s="15" t="str">
        <x:v>Предварительный макропласт</x:v>
      </x:c>
      <x:c r="P86" s="15" t="str">
        <x:v>Состав серии подтверждён актуальным официальным каталогом; внутренние даты требуют отдельного исследования.</x:v>
      </x:c>
      <x:c r="Q86" s="15" t="str">
        <x:v>https://babook.org/store/series/3</x:v>
      </x:c>
      <x:c r="R86" s="15" t="str"/>
      <x:c r="S86" s="15" t="str"/>
      <x:c r="T86" s="15" t="str">
        <x:v>шпион, самолёт, Кремль</x:v>
      </x:c>
      <x:c r="U86" s="15" t="str">
        <x:v>пограничный</x:v>
      </x:c>
    </x:row>
    <x:row r="87">
      <x:c r="A87" s="15" t="str">
        <x:v>genres-metamorph</x:v>
      </x:c>
      <x:c r="B87" s="15" t="str">
        <x:v>Борис Акунин</x:v>
      </x:c>
      <x:c r="C87" s="15" t="str">
        <x:v>Жанры и пограничная проза</x:v>
      </x:c>
      <x:c r="D87" s="15" t="str">
        <x:v>Метаморфозы</x:v>
      </x:c>
      <x:c r="E87" s="15" t="str">
        <x:v>Метаморфозы</x:v>
      </x:c>
      <x:c r="F87" s="15" t="str">
        <x:v>роман / повесть / сборник</x:v>
      </x:c>
      <x:c r="G87" s="15" t="n">
        <x:v>2000</x:v>
      </x:c>
      <x:c r="H87" s="15" t="n">
        <x:v>2025</x:v>
      </x:c>
      <x:c r="I87" s="15" t="n">
        <x:f>IF(OR(G87="",H87=""),"",H87-G87+1)</x:f>
        <x:v>26</x:v>
      </x:c>
      <x:c r="J87" s="15" t="str">
        <x:v>2000–2025</x:v>
      </x:c>
      <x:c r="K87" s="15" t="str">
        <x:v>автобиографическая современность</x:v>
      </x:c>
      <x:c r="L87" s="15" t="str">
        <x:v>зависит от произведения</x:v>
      </x:c>
      <x:c r="M87" s="15" t="str">
        <x:v>жанровый эксперимент</x:v>
      </x:c>
      <x:c r="N87" s="15" t="str">
        <x:v>Средняя</x:v>
      </x:c>
      <x:c r="O87" s="15" t="str">
        <x:v>Предварительный макропласт</x:v>
      </x:c>
      <x:c r="P87" s="15" t="str">
        <x:v>Состав серии подтверждён актуальным официальным каталогом; внутренние даты требуют отдельного исследования.</x:v>
      </x:c>
      <x:c r="Q87" s="15" t="str">
        <x:v>https://babook.org/store/series/3</x:v>
      </x:c>
      <x:c r="R87" s="15" t="str"/>
      <x:c r="S87" s="15" t="str"/>
      <x:c r="T87" s="15" t="str">
        <x:v>маски, зеркало, рукопись</x:v>
      </x:c>
      <x:c r="U87" s="15" t="str">
        <x:v>пограничный</x:v>
      </x:c>
    </x:row>
    <x:row r="88">
      <x:c r="A88" s="15" t="str">
        <x:v>genres-child</x:v>
      </x:c>
      <x:c r="B88" s="15" t="str">
        <x:v>Борис Акунин</x:v>
      </x:c>
      <x:c r="C88" s="15" t="str">
        <x:v>Жанры и пограничная проза</x:v>
      </x:c>
      <x:c r="D88" s="15" t="str">
        <x:v>Детская книга для мальчиков</x:v>
      </x:c>
      <x:c r="E88" s="15" t="str">
        <x:v>Детская книга для мальчиков</x:v>
      </x:c>
      <x:c r="F88" s="15" t="str">
        <x:v>роман / повесть / сборник</x:v>
      </x:c>
      <x:c r="G88" s="15" t="n">
        <x:v>2005</x:v>
      </x:c>
      <x:c r="H88" s="15" t="n">
        <x:v>2005</x:v>
      </x:c>
      <x:c r="I88" s="15" t="n">
        <x:f>IF(OR(G88="",H88=""),"",H88-G88+1)</x:f>
        <x:v>1</x:v>
      </x:c>
      <x:c r="J88" s="15" t="str">
        <x:v>2005</x:v>
      </x:c>
      <x:c r="K88" s="15" t="str">
        <x:v>современность и приключенческие вставки</x:v>
      </x:c>
      <x:c r="L88" s="15" t="str">
        <x:v>зависит от произведения</x:v>
      </x:c>
      <x:c r="M88" s="15" t="str">
        <x:v>жанровый эксперимент</x:v>
      </x:c>
      <x:c r="N88" s="15" t="str">
        <x:v>Низкая</x:v>
      </x:c>
      <x:c r="O88" s="15" t="str">
        <x:v>Предварительный макропласт</x:v>
      </x:c>
      <x:c r="P88" s="15" t="str">
        <x:v>Состав серии подтверждён актуальным официальным каталогом; внутренние даты требуют отдельного исследования.</x:v>
      </x:c>
      <x:c r="Q88" s="15" t="str">
        <x:v>https://babook.org/store/series/3</x:v>
      </x:c>
      <x:c r="R88" s="15" t="str"/>
      <x:c r="S88" s="15" t="str"/>
      <x:c r="T88" s="15" t="str">
        <x:v>подросток, тайна, путешествие</x:v>
      </x:c>
      <x:c r="U88" s="15" t="str">
        <x:v>пограничный</x:v>
      </x:c>
    </x:row>
    <x:row r="89">
      <x:c r="A89" s="15" t="str">
        <x:v>genres-fantasy</x:v>
      </x:c>
      <x:c r="B89" s="15" t="str">
        <x:v>Борис Акунин</x:v>
      </x:c>
      <x:c r="C89" s="15" t="str">
        <x:v>Жанры и пограничная проза</x:v>
      </x:c>
      <x:c r="D89" s="15" t="str">
        <x:v>Фантастика</x:v>
      </x:c>
      <x:c r="E89" s="15" t="str">
        <x:v>Фантастика</x:v>
      </x:c>
      <x:c r="F89" s="15" t="str">
        <x:v>роман / повесть / сборник</x:v>
      </x:c>
      <x:c r="G89" s="15" t="n">
        <x:v>2005</x:v>
      </x:c>
      <x:c r="H89" s="15" t="n">
        <x:v>2005</x:v>
      </x:c>
      <x:c r="I89" s="15" t="n">
        <x:f>IF(OR(G89="",H89=""),"",H89-G89+1)</x:f>
        <x:v>1</x:v>
      </x:c>
      <x:c r="J89" s="15" t="str">
        <x:v>2005</x:v>
      </x:c>
      <x:c r="K89" s="15" t="str">
        <x:v>современность</x:v>
      </x:c>
      <x:c r="L89" s="15" t="str">
        <x:v>зависит от произведения</x:v>
      </x:c>
      <x:c r="M89" s="15" t="str">
        <x:v>жанровый эксперимент</x:v>
      </x:c>
      <x:c r="N89" s="15" t="str">
        <x:v>Низкая</x:v>
      </x:c>
      <x:c r="O89" s="15" t="str">
        <x:v>Предварительный макропласт</x:v>
      </x:c>
      <x:c r="P89" s="15" t="str">
        <x:v>Состав серии подтверждён актуальным официальным каталогом; внутренние даты требуют отдельного исследования.</x:v>
      </x:c>
      <x:c r="Q89" s="15" t="str">
        <x:v>https://babook.org/store/series/3</x:v>
      </x:c>
      <x:c r="R89" s="15" t="str"/>
      <x:c r="S89" s="15" t="str"/>
      <x:c r="T89" s="15" t="str">
        <x:v>сверхспособности, мегаполис</x:v>
      </x:c>
      <x:c r="U89" s="15" t="str">
        <x:v>пограничный</x:v>
      </x:c>
    </x:row>
    <x:row r="90">
      <x:c r="A90" s="15" t="str">
        <x:v>genres-wakeup</x:v>
      </x:c>
      <x:c r="B90" s="15" t="str">
        <x:v>Борис Акунин</x:v>
      </x:c>
      <x:c r="C90" s="15" t="str">
        <x:v>Жанры и пограничная проза</x:v>
      </x:c>
      <x:c r="D90" s="15" t="str">
        <x:v>Проснись!</x:v>
      </x:c>
      <x:c r="E90" s="15" t="str">
        <x:v>Проснись!</x:v>
      </x:c>
      <x:c r="F90" s="15" t="str">
        <x:v>роман / повесть / сборник</x:v>
      </x:c>
      <x:c r="G90" s="15" t="n">
        <x:v>2100</x:v>
      </x:c>
      <x:c r="H90" s="15" t="n">
        <x:v>2150</x:v>
      </x:c>
      <x:c r="I90" s="15" t="n">
        <x:f>IF(OR(G90="",H90=""),"",H90-G90+1)</x:f>
        <x:v>51</x:v>
      </x:c>
      <x:c r="J90" s="15" t="str">
        <x:v>2100–2150</x:v>
      </x:c>
      <x:c r="K90" s="15" t="str">
        <x:v>альтернативные будущие человечества</x:v>
      </x:c>
      <x:c r="L90" s="15" t="str">
        <x:v>зависит от произведения</x:v>
      </x:c>
      <x:c r="M90" s="15" t="str">
        <x:v>жанровый эксперимент</x:v>
      </x:c>
      <x:c r="N90" s="15" t="str">
        <x:v>Низкая</x:v>
      </x:c>
      <x:c r="O90" s="15" t="str">
        <x:v>Предварительный макропласт</x:v>
      </x:c>
      <x:c r="P90" s="15" t="str">
        <x:v>Состав серии подтверждён актуальным официальным каталогом; внутренние даты требуют отдельного исследования.</x:v>
      </x:c>
      <x:c r="Q90" s="15" t="str">
        <x:v>https://babook.org/store/series/3</x:v>
      </x:c>
      <x:c r="R90" s="15" t="str"/>
      <x:c r="S90" s="15" t="str"/>
      <x:c r="T90" s="15" t="str">
        <x:v>утопия, дистопия, сон</x:v>
      </x:c>
      <x:c r="U90" s="15" t="str">
        <x:v>пограничный</x:v>
      </x:c>
    </x:row>
    <x:row r="91">
      <x:c r="A91" s="15" t="str">
        <x:v>genres-hokku</x:v>
      </x:c>
      <x:c r="B91" s="15" t="str">
        <x:v>Борис Акунин</x:v>
      </x:c>
      <x:c r="C91" s="15" t="str">
        <x:v>Жанры и пограничная проза</x:v>
      </x:c>
      <x:c r="D91" s="15" t="str">
        <x:v>Год как хокку</x:v>
      </x:c>
      <x:c r="E91" s="15" t="str">
        <x:v>Год как хокку</x:v>
      </x:c>
      <x:c r="F91" s="15" t="str">
        <x:v>роман / повесть / сборник</x:v>
      </x:c>
      <x:c r="G91" s="15"/>
      <x:c r="H91" s="15"/>
      <x:c r="I91" s="15" t="str">
        <x:f>IF(OR(G91="",H91=""),"",H91-G91+1)</x:f>
      </x:c>
      <x:c r="J91" s="15" t="str"/>
      <x:c r="K91" s="15" t="str">
        <x:v>календарное, но не сюжетное время</x:v>
      </x:c>
      <x:c r="L91" s="15" t="str">
        <x:v>зависит от произведения</x:v>
      </x:c>
      <x:c r="M91" s="15" t="str">
        <x:v>жанровый эксперимент</x:v>
      </x:c>
      <x:c r="N91" s="15" t="str">
        <x:v>Низкая</x:v>
      </x:c>
      <x:c r="O91" s="15" t="str">
        <x:v>Предварительный макропласт</x:v>
      </x:c>
      <x:c r="P91" s="15" t="str">
        <x:v>Состав серии подтверждён актуальным официальным каталогом; внутренние даты требуют отдельного исследования.</x:v>
      </x:c>
      <x:c r="Q91" s="15" t="str">
        <x:v>https://babook.org/store/series/3</x:v>
      </x:c>
      <x:c r="R91" s="15" t="str"/>
      <x:c r="S91" s="15" t="str"/>
      <x:c r="T91" s="15" t="str">
        <x:v>хокку, четыре сезона</x:v>
      </x:c>
      <x:c r="U91" s="15" t="str">
        <x:v>пограничный</x:v>
      </x:c>
    </x:row>
    <x:row r="92">
      <x:c r="A92" s="15" t="str">
        <x:v>genres-dao</x:v>
      </x:c>
      <x:c r="B92" s="15" t="str">
        <x:v>Борис Акунин</x:v>
      </x:c>
      <x:c r="C92" s="15" t="str">
        <x:v>Жанры и пограничная проза</x:v>
      </x:c>
      <x:c r="D92" s="15" t="str">
        <x:v>Два Дао</x:v>
      </x:c>
      <x:c r="E92" s="15" t="str">
        <x:v>Два Дао</x:v>
      </x:c>
      <x:c r="F92" s="15" t="str">
        <x:v>роман / повесть / сборник</x:v>
      </x:c>
      <x:c r="G92" s="15"/>
      <x:c r="H92" s="15"/>
      <x:c r="I92" s="15" t="str">
        <x:f>IF(OR(G92="",H92=""),"",H92-G92+1)</x:f>
      </x:c>
      <x:c r="J92" s="15" t="str"/>
      <x:c r="K92" s="15" t="str">
        <x:v>неустановленный многослойный хронотоп</x:v>
      </x:c>
      <x:c r="L92" s="15" t="str">
        <x:v>зависит от произведения</x:v>
      </x:c>
      <x:c r="M92" s="15" t="str">
        <x:v>жанровый эксперимент</x:v>
      </x:c>
      <x:c r="N92" s="15" t="str">
        <x:v>Низкая</x:v>
      </x:c>
      <x:c r="O92" s="15" t="str">
        <x:v>Предварительный макропласт</x:v>
      </x:c>
      <x:c r="P92" s="15" t="str">
        <x:v>Состав серии подтверждён актуальным официальным каталогом; внутренние даты требуют отдельного исследования.</x:v>
      </x:c>
      <x:c r="Q92" s="15" t="str">
        <x:v>https://babook.org/store/series/3</x:v>
      </x:c>
      <x:c r="R92" s="15" t="str"/>
      <x:c r="S92" s="15" t="str"/>
      <x:c r="T92" s="15" t="str">
        <x:v>лабиринт, два пути</x:v>
      </x:c>
      <x:c r="U92" s="15" t="str">
        <x:v>пограничный</x:v>
      </x:c>
    </x:row>
    <x:row r="93">
      <x:c r="A93" s="15" t="str">
        <x:v>genres-lego</x:v>
      </x:c>
      <x:c r="B93" s="15" t="str">
        <x:v>Борис Акунин</x:v>
      </x:c>
      <x:c r="C93" s="15" t="str">
        <x:v>Жанры и пограничная проза</x:v>
      </x:c>
      <x:c r="D93" s="15" t="str">
        <x:v>ЛЕГО</x:v>
      </x:c>
      <x:c r="E93" s="15" t="str">
        <x:v>ЛЕГО</x:v>
      </x:c>
      <x:c r="F93" s="15" t="str">
        <x:v>роман / повесть / сборник</x:v>
      </x:c>
      <x:c r="G93" s="15"/>
      <x:c r="H93" s="15"/>
      <x:c r="I93" s="15" t="str">
        <x:f>IF(OR(G93="",H93=""),"",H93-G93+1)</x:f>
      </x:c>
      <x:c r="J93" s="15" t="str"/>
      <x:c r="K93" s="15" t="str">
        <x:v>металитературный хронотоп</x:v>
      </x:c>
      <x:c r="L93" s="15" t="str">
        <x:v>зависит от произведения</x:v>
      </x:c>
      <x:c r="M93" s="15" t="str">
        <x:v>жанровый эксперимент</x:v>
      </x:c>
      <x:c r="N93" s="15" t="str">
        <x:v>Низкая</x:v>
      </x:c>
      <x:c r="O93" s="15" t="str">
        <x:v>Предварительный макропласт</x:v>
      </x:c>
      <x:c r="P93" s="15" t="str">
        <x:v>Состав серии подтверждён актуальным официальным каталогом; внутренние даты требуют отдельного исследования.</x:v>
      </x:c>
      <x:c r="Q93" s="15" t="str">
        <x:v>https://babook.org/store/series/3</x:v>
      </x:c>
      <x:c r="R93" s="15" t="str"/>
      <x:c r="S93" s="15" t="str"/>
      <x:c r="T93" s="15" t="str">
        <x:v>буквы, кубики, русская классика</x:v>
      </x:c>
      <x:c r="U93" s="15" t="str">
        <x:v>пограничный</x:v>
      </x:c>
    </x:row>
    <x:row r="94">
      <x:c r="A94" s="15" t="str">
        <x:v>genres-generation-m</x:v>
      </x:c>
      <x:c r="B94" s="15" t="str">
        <x:v>Борис Акунин</x:v>
      </x:c>
      <x:c r="C94" s="15" t="str">
        <x:v>Жанры и пограничная проза</x:v>
      </x:c>
      <x:c r="D94" s="15" t="str">
        <x:v>Поколение М</x:v>
      </x:c>
      <x:c r="E94" s="15" t="str">
        <x:v>Поколение М</x:v>
      </x:c>
      <x:c r="F94" s="15" t="str">
        <x:v>роман / повесть / сборник</x:v>
      </x:c>
      <x:c r="G94" s="15"/>
      <x:c r="H94" s="15"/>
      <x:c r="I94" s="15" t="str">
        <x:f>IF(OR(G94="",H94=""),"",H94-G94+1)</x:f>
      </x:c>
      <x:c r="J94" s="15" t="str"/>
      <x:c r="K94" s="15" t="str">
        <x:v>временной пласт требует исследования</x:v>
      </x:c>
      <x:c r="L94" s="15" t="str">
        <x:v>зависит от произведения</x:v>
      </x:c>
      <x:c r="M94" s="15" t="str">
        <x:v>жанровый эксперимент</x:v>
      </x:c>
      <x:c r="N94" s="15" t="str">
        <x:v>Низкая</x:v>
      </x:c>
      <x:c r="O94" s="15" t="str">
        <x:v>Предварительный макропласт</x:v>
      </x:c>
      <x:c r="P94" s="15" t="str">
        <x:v>Состав серии подтверждён актуальным официальным каталогом; внутренние даты требуют отдельного исследования.</x:v>
      </x:c>
      <x:c r="Q94" s="15" t="str">
        <x:v>https://babook.org/store/series/3</x:v>
      </x:c>
      <x:c r="R94" s="15" t="str"/>
      <x:c r="S94" s="15" t="str"/>
      <x:c r="T94" s="15" t="str">
        <x:v>поколение, календарь, память</x:v>
      </x:c>
      <x:c r="U94" s="15" t="str">
        <x:v>пограничный</x:v>
      </x:c>
    </x:row>
    <x:row r="95">
      <x:c r="A95" s="15" t="str">
        <x:v>genres-tales</x:v>
      </x:c>
      <x:c r="B95" s="15" t="str">
        <x:v>Борис Акунин</x:v>
      </x:c>
      <x:c r="C95" s="15" t="str">
        <x:v>Жанры и пограничная проза</x:v>
      </x:c>
      <x:c r="D95" s="15" t="str">
        <x:v>Сказки Старого, Нового и Иного Света</x:v>
      </x:c>
      <x:c r="E95" s="15" t="str">
        <x:v>Сказки Старого, Нового и Иного Света</x:v>
      </x:c>
      <x:c r="F95" s="15" t="str">
        <x:v>роман / повесть / сборник</x:v>
      </x:c>
      <x:c r="G95" s="15"/>
      <x:c r="H95" s="15"/>
      <x:c r="I95" s="15" t="str">
        <x:f>IF(OR(G95="",H95=""),"",H95-G95+1)</x:f>
      </x:c>
      <x:c r="J95" s="15" t="str"/>
      <x:c r="K95" s="15" t="str">
        <x:v>разные культуры и эпохи</x:v>
      </x:c>
      <x:c r="L95" s="15" t="str">
        <x:v>зависит от произведения</x:v>
      </x:c>
      <x:c r="M95" s="15" t="str">
        <x:v>жанровый эксперимент</x:v>
      </x:c>
      <x:c r="N95" s="15" t="str">
        <x:v>Низкая</x:v>
      </x:c>
      <x:c r="O95" s="15" t="str">
        <x:v>Предварительный макропласт</x:v>
      </x:c>
      <x:c r="P95" s="15" t="str">
        <x:v>Состав серии подтверждён актуальным официальным каталогом; внутренние даты требуют отдельного исследования.</x:v>
      </x:c>
      <x:c r="Q95" s="15" t="str">
        <x:v>https://babook.org/store/series/3</x:v>
      </x:c>
      <x:c r="R95" s="15" t="str"/>
      <x:c r="S95" s="15" t="str"/>
      <x:c r="T95" s="15" t="str">
        <x:v>сказка, карта мира</x:v>
      </x:c>
      <x:c r="U95" s="15" t="str">
        <x:v>пограничный</x:v>
      </x:c>
    </x:row>
    <x:row r="96">
      <x:c r="A96" s="15" t="str">
        <x:v>octopus-sulazhin</x:v>
      </x:c>
      <x:c r="B96" s="15" t="str">
        <x:v>Борис Акунин</x:v>
      </x:c>
      <x:c r="C96" s="15" t="str">
        <x:v>Проект «Осьминог»</x:v>
      </x:c>
      <x:c r="D96" s="15" t="str">
        <x:v>Сулажин</x:v>
      </x:c>
      <x:c r="E96" s="15" t="str">
        <x:v>Сулажин</x:v>
      </x:c>
      <x:c r="F96" s="15" t="str">
        <x:v>интерактивная повесть</x:v>
      </x:c>
      <x:c r="G96" s="15" t="n">
        <x:v>2015</x:v>
      </x:c>
      <x:c r="H96" s="15" t="n">
        <x:v>2015</x:v>
      </x:c>
      <x:c r="I96" s="15" t="n">
        <x:f>IF(OR(G96="",H96=""),"",H96-G96+1)</x:f>
        <x:v>1</x:v>
      </x:c>
      <x:c r="J96" s="15" t="str">
        <x:v>2015</x:v>
      </x:c>
      <x:c r="K96" s="15" t="str">
        <x:v>современность</x:v>
      </x:c>
      <x:c r="L96" s="15" t="str">
        <x:v>читатель как участник психологического теста</x:v>
      </x:c>
      <x:c r="M96" s="15" t="str">
        <x:v>ветвящийся сюжет</x:v>
      </x:c>
      <x:c r="N96" s="15" t="str">
        <x:v>Низкая</x:v>
      </x:c>
      <x:c r="O96" s="15" t="str">
        <x:v>Год поставлен по эпохе публикации</x:v>
      </x:c>
      <x:c r="P96" s="15" t="str">
        <x:v>Официальный каталог определяет произведение как повесть-психологический тест.</x:v>
      </x:c>
      <x:c r="Q96" s="15" t="str">
        <x:v>https://babook.org/store</x:v>
      </x:c>
      <x:c r="R96" s="15" t="str"/>
      <x:c r="S96" s="15" t="str"/>
      <x:c r="T96" s="15" t="str">
        <x:v>развилка, тест, осьминог</x:v>
      </x:c>
      <x:c r="U96" s="15" t="str">
        <x:v>дополнительный</x:v>
      </x:c>
    </x:row>
    <x:row r="97">
      <x:c r="A97" s="15" t="str">
        <x:v>octopus-basho</x:v>
      </x:c>
      <x:c r="B97" s="15" t="str">
        <x:v>Борис Акунин</x:v>
      </x:c>
      <x:c r="C97" s="15" t="str">
        <x:v>Проект «Осьминог»</x:v>
      </x:c>
      <x:c r="D97" s="15" t="str">
        <x:v>Лягушка Басё</x:v>
      </x:c>
      <x:c r="E97" s="15" t="str">
        <x:v>Лягушка Басё</x:v>
      </x:c>
      <x:c r="F97" s="15" t="str">
        <x:v>интерактивный детектив</x:v>
      </x:c>
      <x:c r="G97" s="15"/>
      <x:c r="H97" s="15"/>
      <x:c r="I97" s="15" t="str">
        <x:f>IF(OR(G97="",H97=""),"",H97-G97+1)</x:f>
      </x:c>
      <x:c r="J97" s="15" t="str"/>
      <x:c r="K97" s="15" t="str">
        <x:v>Грузия и еврейская ветвь сюжета</x:v>
      </x:c>
      <x:c r="L97" s="15" t="str">
        <x:v>Эраст Фандорин, Ладо Чхартишвили, Арон Бразинский</x:v>
      </x:c>
      <x:c r="M97" s="15" t="str">
        <x:v>ветвящийся сюжет</x:v>
      </x:c>
      <x:c r="N97" s="15" t="str">
        <x:v>Низкая</x:v>
      </x:c>
      <x:c r="O97" s="15" t="str">
        <x:v>Точная внутренняя дата не установлена</x:v>
      </x:c>
      <x:c r="P97" s="15" t="str">
        <x:v>Официальный каталог подтверждает участие Фандорина, но не называет год.</x:v>
      </x:c>
      <x:c r="Q97" s="15" t="str">
        <x:v>https://babook.org/store</x:v>
      </x:c>
      <x:c r="R97" s="15" t="str"/>
      <x:c r="S97" s="15" t="str"/>
      <x:c r="T97" s="15" t="str">
        <x:v>лягушка, старый пруд, Тбилиси</x:v>
      </x:c>
      <x:c r="U97" s="15" t="str">
        <x:v>дополнительный</x:v>
      </x:c>
    </x:row>
    <x:row r="98">
      <x:c r="A98" s="15" t="str">
        <x:v>borisova-seasons</x:v>
      </x:c>
      <x:c r="B98" s="15" t="str">
        <x:v>Анна Борисова</x:v>
      </x:c>
      <x:c r="C98" s="15" t="str">
        <x:v>Проект «Авторы»: Анна Борисова</x:v>
      </x:c>
      <x:c r="D98" s="15" t="str">
        <x:v>Vremena Goda</x:v>
      </x:c>
      <x:c r="E98" s="15" t="str">
        <x:v>Vremena Goda</x:v>
      </x:c>
      <x:c r="F98" s="15" t="str">
        <x:v>роман</x:v>
      </x:c>
      <x:c r="G98" s="15" t="n">
        <x:v>1980</x:v>
      </x:c>
      <x:c r="H98" s="15" t="n">
        <x:v>2010</x:v>
      </x:c>
      <x:c r="I98" s="15" t="n">
        <x:f>IF(OR(G98="",H98=""),"",H98-G98+1)</x:f>
        <x:v>31</x:v>
      </x:c>
      <x:c r="J98" s="15" t="str">
        <x:v>1980–2010</x:v>
      </x:c>
      <x:c r="K98" s="15" t="str">
        <x:v>поздний СССР и современность</x:v>
      </x:c>
      <x:c r="L98" s="15" t="str">
        <x:v>персонажи авторского проекта Анны Борисовой</x:v>
      </x:c>
      <x:c r="M98" s="15" t="str">
        <x:v>философская проза</x:v>
      </x:c>
      <x:c r="N98" s="15" t="str">
        <x:v>Низкая</x:v>
      </x:c>
      <x:c r="O98" s="15" t="str">
        <x:v>Широкий рабочий диапазон</x:v>
      </x:c>
      <x:c r="P98" s="15" t="str">
        <x:v>Официальный каталог подтверждает состав проекта; точные внутренние даты будут извлечены из текста.</x:v>
      </x:c>
      <x:c r="Q98" s="15" t="str">
        <x:v>https://babook.org/store/series/22</x:v>
      </x:c>
      <x:c r="R98" s="15" t="str"/>
      <x:c r="S98" s="15" t="str"/>
      <x:c r="T98" s="15" t="str">
        <x:v>пансион, времена года, долгая жизнь</x:v>
      </x:c>
      <x:c r="U98" s="15" t="str">
        <x:v>псевдоним</x:v>
      </x:c>
    </x:row>
    <x:row r="99">
      <x:c r="A99" s="15" t="str">
        <x:v>borisova-creative</x:v>
      </x:c>
      <x:c r="B99" s="15" t="str">
        <x:v>Анна Борисова</x:v>
      </x:c>
      <x:c r="C99" s="15" t="str">
        <x:v>Проект «Авторы»: Анна Борисова</x:v>
      </x:c>
      <x:c r="D99" s="15" t="str">
        <x:v>Креативщик</x:v>
      </x:c>
      <x:c r="E99" s="15" t="str">
        <x:v>Креативщик</x:v>
      </x:c>
      <x:c r="F99" s="15" t="str">
        <x:v>роман</x:v>
      </x:c>
      <x:c r="G99" s="15" t="n">
        <x:v>2000</x:v>
      </x:c>
      <x:c r="H99" s="15" t="n">
        <x:v>2010</x:v>
      </x:c>
      <x:c r="I99" s="15" t="n">
        <x:f>IF(OR(G99="",H99=""),"",H99-G99+1)</x:f>
        <x:v>11</x:v>
      </x:c>
      <x:c r="J99" s="15" t="str">
        <x:v>2000–2010</x:v>
      </x:c>
      <x:c r="K99" s="15" t="str">
        <x:v>современность</x:v>
      </x:c>
      <x:c r="L99" s="15" t="str">
        <x:v>персонажи авторского проекта Анны Борисовой</x:v>
      </x:c>
      <x:c r="M99" s="15" t="str">
        <x:v>философская проза</x:v>
      </x:c>
      <x:c r="N99" s="15" t="str">
        <x:v>Низкая</x:v>
      </x:c>
      <x:c r="O99" s="15" t="str">
        <x:v>Широкий рабочий диапазон</x:v>
      </x:c>
      <x:c r="P99" s="15" t="str">
        <x:v>Официальный каталог подтверждает состав проекта; точные внутренние даты будут извлечены из текста.</x:v>
      </x:c>
      <x:c r="Q99" s="15" t="str">
        <x:v>https://babook.org/store/series/22</x:v>
      </x:c>
      <x:c r="R99" s="15" t="str"/>
      <x:c r="S99" s="15" t="str"/>
      <x:c r="T99" s="15" t="str">
        <x:v>мегаполис, странное существо, реклама</x:v>
      </x:c>
      <x:c r="U99" s="15" t="str">
        <x:v>псевдоним</x:v>
      </x:c>
    </x:row>
    <x:row r="100">
      <x:c r="A100" s="15" t="str">
        <x:v>borisova-tam</x:v>
      </x:c>
      <x:c r="B100" s="15" t="str">
        <x:v>Анна Борисова</x:v>
      </x:c>
      <x:c r="C100" s="15" t="str">
        <x:v>Проект «Авторы»: Анна Борисова</x:v>
      </x:c>
      <x:c r="D100" s="15" t="str">
        <x:v>Там</x:v>
      </x:c>
      <x:c r="E100" s="15" t="str">
        <x:v>Там</x:v>
      </x:c>
      <x:c r="F100" s="15" t="str">
        <x:v>роман</x:v>
      </x:c>
      <x:c r="G100" s="15" t="n">
        <x:v>2000</x:v>
      </x:c>
      <x:c r="H100" s="15" t="n">
        <x:v>2010</x:v>
      </x:c>
      <x:c r="I100" s="15" t="n">
        <x:f>IF(OR(G100="",H100=""),"",H100-G100+1)</x:f>
        <x:v>11</x:v>
      </x:c>
      <x:c r="J100" s="15" t="str">
        <x:v>2000–2010</x:v>
      </x:c>
      <x:c r="K100" s="15" t="str">
        <x:v>современная рамка и загробные пространства</x:v>
      </x:c>
      <x:c r="L100" s="15" t="str">
        <x:v>персонажи авторского проекта Анны Борисовой</x:v>
      </x:c>
      <x:c r="M100" s="15" t="str">
        <x:v>философская проза</x:v>
      </x:c>
      <x:c r="N100" s="15" t="str">
        <x:v>Низкая</x:v>
      </x:c>
      <x:c r="O100" s="15" t="str">
        <x:v>Широкий рабочий диапазон</x:v>
      </x:c>
      <x:c r="P100" s="15" t="str">
        <x:v>Официальный каталог подтверждает состав проекта; точные внутренние даты будут извлечены из текста.</x:v>
      </x:c>
      <x:c r="Q100" s="15" t="str">
        <x:v>https://babook.org/store/series/22</x:v>
      </x:c>
      <x:c r="R100" s="15" t="str"/>
      <x:c r="S100" s="15" t="str"/>
      <x:c r="T100" s="15" t="str">
        <x:v>авиакатастрофа, свет, коридор</x:v>
      </x:c>
      <x:c r="U100" s="15" t="str">
        <x:v>псевдоним</x:v>
      </x:c>
    </x:row>
  </x:sheetData>
  <x:conditionalFormatting sqref="N2:N100">
    <x:cfRule type="expression" dxfId="0" priority="1">
      <x:formula>N2="Высокая"</x:formula>
    </x:cfRule>
    <x:cfRule type="expression" dxfId="1" priority="2">
      <x:formula>N2="Средняя"</x:formula>
    </x:cfRule>
    <x:cfRule type="expression" dxfId="2" priority="3">
      <x:formula>N2="Низкая"</x:formula>
    </x:cfRule>
  </x:conditionalFormatting>
  <x:dataValidations count="1">
    <x:dataValidation type="list" sqref="N2:N100">
      <x:formula1>"Высокая,Средняя,Низкая"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0f03b9ef2b474ec4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38" hidden="0" customWidth="1"/>
    <x:col min="2" max="2" width="16" hidden="0" customWidth="1"/>
    <x:col min="3" max="3" width="16" hidden="0" customWidth="1"/>
    <x:col min="4" max="4" width="16" hidden="0" customWidth="1"/>
  </x:cols>
  <x:sheetData>
    <x:row r="1" ht="32" customHeight="1">
      <x:c r="A1" s="20" t="str">
        <x:v>Общий хронотоп Бориса Акунина — v0.1</x:v>
      </x:c>
    </x:row>
    <x:row r="3">
      <x:c r="A3" s="30" t="str">
        <x:v>Показатель</x:v>
      </x:c>
      <x:c r="B3" s="31" t="str">
        <x:v>Значение</x:v>
      </x:c>
    </x:row>
    <x:row r="4">
      <x:c r="A4" s="32" t="str">
        <x:v>Всего временных карточек</x:v>
      </x:c>
      <x:c r="B4" s="33" t="n">
        <x:f>COUNTA(Corpus!D2:D100)</x:f>
        <x:v>99</x:v>
      </x:c>
    </x:row>
    <x:row r="5">
      <x:c r="A5" s="32" t="str">
        <x:v>Датированных карточек</x:v>
      </x:c>
      <x:c r="B5" s="33" t="n">
        <x:f>COUNT(Corpus!G2:G100)</x:f>
        <x:v>91</x:v>
      </x:c>
    </x:row>
    <x:row r="6">
      <x:c r="A6" s="32" t="str">
        <x:v>Без установленной даты</x:v>
      </x:c>
      <x:c r="B6" s="33" t="n">
        <x:f>COUNTBLANK(Corpus!G2:G100)</x:f>
        <x:v>8</x:v>
      </x:c>
    </x:row>
    <x:row r="7">
      <x:c r="A7" s="34" t="str">
        <x:v>Циклов / дорожек</x:v>
      </x:c>
      <x:c r="B7" s="35" t="n">
        <x:v>12</x:v>
      </x:c>
    </x:row>
    <x:row r="10">
      <x:c r="A10" s="46" t="str">
        <x:v>Cycle</x:v>
      </x:c>
      <x:c r="B10" s="46" t="str">
        <x:v>Cards</x:v>
      </x:c>
      <x:c r="C10" s="46" t="str">
        <x:v>High Confidence</x:v>
      </x:c>
      <x:c r="D10" s="46" t="str">
        <x:v>Undated</x:v>
      </x:c>
    </x:row>
    <x:row r="11">
      <x:c r="A11" s="11" t="str">
        <x:v>История государства: беллетристика</x:v>
      </x:c>
      <x:c r="B11" s="11" t="n">
        <x:f>COUNTIF(Corpus!C$2:C$100,A11)</x:f>
        <x:v>10</x:v>
      </x:c>
      <x:c r="C11" s="11" t="n">
        <x:f>COUNTIFS(Corpus!C$2:C$100,A11,Corpus!N$2:N$100,"Высокая")</x:f>
        <x:v>0</x:v>
      </x:c>
      <x:c r="D11" s="11" t="n">
        <x:f>COUNTIFS(Corpus!C$2:C$100,A11,Corpus!G$2:G$100,"")</x:f>
        <x:v>0</x:v>
      </x:c>
    </x:row>
    <x:row r="12">
      <x:c r="A12" s="11" t="str">
        <x:v>Проект «Авторы»: Брусникин</x:v>
      </x:c>
      <x:c r="B12" s="11" t="n">
        <x:f>COUNTIF(Corpus!C$2:C$100,A12)</x:f>
        <x:v>3</x:v>
      </x:c>
      <x:c r="C12" s="11" t="n">
        <x:f>COUNTIFS(Corpus!C$2:C$100,A12,Corpus!N$2:N$100,"Высокая")</x:f>
        <x:v>3</x:v>
      </x:c>
      <x:c r="D12" s="11" t="n">
        <x:f>COUNTIFS(Corpus!C$2:C$100,A12,Corpus!G$2:G$100,"")</x:f>
        <x:v>0</x:v>
      </x:c>
    </x:row>
    <x:row r="13">
      <x:c r="A13" s="11" t="str">
        <x:v>Приключения магистра</x:v>
      </x:c>
      <x:c r="B13" s="11" t="n">
        <x:f>COUNTIF(Corpus!C$2:C$100,A13)</x:f>
        <x:v>8</x:v>
      </x:c>
      <x:c r="C13" s="11" t="n">
        <x:f>COUNTIFS(Corpus!C$2:C$100,A13,Corpus!N$2:N$100,"Высокая")</x:f>
        <x:v>5</x:v>
      </x:c>
      <x:c r="D13" s="11" t="n">
        <x:f>COUNTIFS(Corpus!C$2:C$100,A13,Corpus!G$2:G$100,"")</x:f>
        <x:v>0</x:v>
      </x:c>
    </x:row>
    <x:row r="14">
      <x:c r="A14" s="11" t="str">
        <x:v>Эраст Фандорин</x:v>
      </x:c>
      <x:c r="B14" s="11" t="n">
        <x:f>COUNTIF(Corpus!C$2:C$100,A14)</x:f>
        <x:v>35</x:v>
      </x:c>
      <x:c r="C14" s="11" t="n">
        <x:f>COUNTIFS(Corpus!C$2:C$100,A14,Corpus!N$2:N$100,"Высокая")</x:f>
        <x:v>18</x:v>
      </x:c>
      <x:c r="D14" s="11" t="n">
        <x:f>COUNTIFS(Corpus!C$2:C$100,A14,Corpus!G$2:G$100,"")</x:f>
        <x:v>0</x:v>
      </x:c>
    </x:row>
    <x:row r="15">
      <x:c r="A15" s="11" t="str">
        <x:v>Масахиро Сибата</x:v>
      </x:c>
      <x:c r="B15" s="11" t="n">
        <x:f>COUNTIF(Corpus!C$2:C$100,A15)</x:f>
        <x:v>2</x:v>
      </x:c>
      <x:c r="C15" s="11" t="n">
        <x:f>COUNTIFS(Corpus!C$2:C$100,A15,Corpus!N$2:N$100,"Высокая")</x:f>
        <x:v>0</x:v>
      </x:c>
      <x:c r="D15" s="11" t="n">
        <x:f>COUNTIFS(Corpus!C$2:C$100,A15,Corpus!G$2:G$100,"")</x:f>
        <x:v>0</x:v>
      </x:c>
    </x:row>
    <x:row r="16">
      <x:c r="A16" s="11" t="str">
        <x:v>Провинциальный детектив</x:v>
      </x:c>
      <x:c r="B16" s="11" t="n">
        <x:f>COUNTIF(Corpus!C$2:C$100,A16)</x:f>
        <x:v>3</x:v>
      </x:c>
      <x:c r="C16" s="11" t="n">
        <x:f>COUNTIFS(Corpus!C$2:C$100,A16,Corpus!N$2:N$100,"Высокая")</x:f>
        <x:v>0</x:v>
      </x:c>
      <x:c r="D16" s="11" t="n">
        <x:f>COUNTIFS(Corpus!C$2:C$100,A16,Corpus!G$2:G$100,"")</x:f>
        <x:v>0</x:v>
      </x:c>
    </x:row>
    <x:row r="17">
      <x:c r="A17" s="11" t="str">
        <x:v>Пьесы</x:v>
      </x:c>
      <x:c r="B17" s="11" t="n">
        <x:f>COUNTIF(Corpus!C$2:C$100,A17)</x:f>
        <x:v>4</x:v>
      </x:c>
      <x:c r="C17" s="11" t="n">
        <x:f>COUNTIFS(Corpus!C$2:C$100,A17,Corpus!N$2:N$100,"Высокая")</x:f>
        <x:v>3</x:v>
      </x:c>
      <x:c r="D17" s="11" t="n">
        <x:f>COUNTIFS(Corpus!C$2:C$100,A17,Corpus!G$2:G$100,"")</x:f>
        <x:v>0</x:v>
      </x:c>
    </x:row>
    <x:row r="18">
      <x:c r="A18" s="11" t="str">
        <x:v>Смерть на брудершафт</x:v>
      </x:c>
      <x:c r="B18" s="11" t="n">
        <x:f>COUNTIF(Corpus!C$2:C$100,A18)</x:f>
        <x:v>10</x:v>
      </x:c>
      <x:c r="C18" s="11" t="n">
        <x:f>COUNTIFS(Corpus!C$2:C$100,A18,Corpus!N$2:N$100,"Высокая")</x:f>
        <x:v>10</x:v>
      </x:c>
      <x:c r="D18" s="11" t="n">
        <x:f>COUNTIFS(Corpus!C$2:C$100,A18,Corpus!G$2:G$100,"")</x:f>
        <x:v>0</x:v>
      </x:c>
    </x:row>
    <x:row r="19">
      <x:c r="A19" s="11" t="str">
        <x:v>Семейный альбом</x:v>
      </x:c>
      <x:c r="B19" s="11" t="n">
        <x:f>COUNTIF(Corpus!C$2:C$100,A19)</x:f>
        <x:v>7</x:v>
      </x:c>
      <x:c r="C19" s="11" t="n">
        <x:f>COUNTIFS(Corpus!C$2:C$100,A19,Corpus!N$2:N$100,"Высокая")</x:f>
        <x:v>0</x:v>
      </x:c>
      <x:c r="D19" s="11" t="n">
        <x:f>COUNTIFS(Corpus!C$2:C$100,A19,Corpus!G$2:G$100,"")</x:f>
        <x:v>0</x:v>
      </x:c>
    </x:row>
    <x:row r="20">
      <x:c r="A20" s="11" t="str">
        <x:v>Жанры и пограничная проза</x:v>
      </x:c>
      <x:c r="B20" s="11" t="n">
        <x:f>COUNTIF(Corpus!C$2:C$100,A20)</x:f>
        <x:v>12</x:v>
      </x:c>
      <x:c r="C20" s="11" t="n">
        <x:f>COUNTIFS(Corpus!C$2:C$100,A20,Corpus!N$2:N$100,"Высокая")</x:f>
        <x:v>1</x:v>
      </x:c>
      <x:c r="D20" s="11" t="n">
        <x:f>COUNTIFS(Corpus!C$2:C$100,A20,Corpus!G$2:G$100,"")</x:f>
        <x:v>0</x:v>
      </x:c>
    </x:row>
    <x:row r="21">
      <x:c r="A21" s="11" t="str">
        <x:v>Проект «Осьминог»</x:v>
      </x:c>
      <x:c r="B21" s="11" t="n">
        <x:f>COUNTIF(Corpus!C$2:C$100,A21)</x:f>
        <x:v>2</x:v>
      </x:c>
      <x:c r="C21" s="11" t="n">
        <x:f>COUNTIFS(Corpus!C$2:C$100,A21,Corpus!N$2:N$100,"Высокая")</x:f>
        <x:v>0</x:v>
      </x:c>
      <x:c r="D21" s="11" t="n">
        <x:f>COUNTIFS(Corpus!C$2:C$100,A21,Corpus!G$2:G$100,"")</x:f>
        <x:v>0</x:v>
      </x:c>
    </x:row>
    <x:row r="22">
      <x:c r="A22" s="11" t="str">
        <x:v>Проект «Авторы»: Анна Борисова</x:v>
      </x:c>
      <x:c r="B22" s="11" t="n">
        <x:f>COUNTIF(Corpus!C$2:C$100,A22)</x:f>
        <x:v>3</x:v>
      </x:c>
      <x:c r="C22" s="11" t="n">
        <x:f>COUNTIFS(Corpus!C$2:C$100,A22,Corpus!N$2:N$100,"Высокая")</x:f>
        <x:v>0</x:v>
      </x:c>
      <x:c r="D22" s="11" t="n">
        <x:f>COUNTIFS(Corpus!C$2:C$100,A22,Corpus!G$2:G$100,"")</x:f>
        <x:v>0</x:v>
      </x:c>
    </x:row>
  </x:sheetData>
  <x:mergeCells>
    <x:mergeCell ref="A1:H1"/>
  </x:mergeCells>
  <x:pageMargins left="0.7" right="0.7" top="0.75" bottom="0.75" header="0.3" footer="0.3"/>
  <x:drawing xmlns:r="http://schemas.openxmlformats.org/officeDocument/2006/relationships" r:id="R9a9c451f419447d2"/>
  <x:tableParts count="1">
    <x:tablePart xmlns:r="http://schemas.openxmlformats.org/officeDocument/2006/relationships" r:id="R5137c94d211e487a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27" hidden="0" customWidth="1"/>
    <x:col min="2" max="2" width="100" hidden="0" customWidth="1"/>
  </x:cols>
  <x:sheetData>
    <x:row r="1" ht="30" customHeight="1">
      <x:c r="A1" s="48" t="str">
        <x:v>Методика и источники — Chronotope v0.1</x:v>
      </x:c>
    </x:row>
    <x:row r="3">
      <x:c r="A3" s="50" t="str">
        <x:v>Статус версии</x:v>
      </x:c>
      <x:c r="B3" s="11" t="str">
        <x:v>Общий корпус собран на уровне произведений и крупных временных пластов. Фандоринская линия уже детализирована; остальные циклы будут углубляться последовательно.</x:v>
      </x:c>
    </x:row>
    <x:row r="4">
      <x:c r="A4" s="50" t="str">
        <x:v>Основная единица</x:v>
      </x:c>
      <x:c r="B4" s="11" t="str">
        <x:v>Одна строка = один самостоятельный временной пласт. Романы с двумя эпохами представлены двумя строками.</x:v>
      </x:c>
    </x:row>
    <x:row r="5">
      <x:c r="A5" s="50" t="str">
        <x:v>Высокая достоверность</x:v>
      </x:c>
      <x:c r="B5" s="11" t="str">
        <x:v>Время прямо указано в официальном каталоге, авторском тексте или однозначно задано историческим событием.</x:v>
      </x:c>
    </x:row>
    <x:row r="6">
      <x:c r="A6" s="50" t="str">
        <x:v>Средняя достоверность</x:v>
      </x:c>
      <x:c r="B6" s="11" t="str">
        <x:v>Эпоха или год надёжны, но нужны точные месяцы, даты либо цитата из первичного текста.</x:v>
      </x:c>
    </x:row>
    <x:row r="7">
      <x:c r="A7" s="50" t="str">
        <x:v>Низкая достоверность</x:v>
      </x:c>
      <x:c r="B7" s="11" t="str">
        <x:v>Рабочая позиция, широкий диапазон или произведение с ещё не установленным внутренним временем.</x:v>
      </x:c>
    </x:row>
    <x:row r="8">
      <x:c r="A8" s="50" t="str">
        <x:v>Макропласты</x:v>
      </x:c>
      <x:c r="B8" s="11" t="str">
        <x:v>Беллетристические книги к «Истории Российского государства» пока показаны одной полосой на книгу; в следующей версии будут разделены на рассказы и повести.</x:v>
      </x:c>
    </x:row>
    <x:row r="9">
      <x:c r="A9" s="50" t="str">
        <x:v>Нон-фикшн</x:v>
      </x:c>
      <x:c r="B9" s="11" t="str">
        <x:v>Исторические тома, эссеистика и документальные сборники не смешиваются с сюжетной шкалой.</x:v>
      </x:c>
    </x:row>
    <x:row r="10">
      <x:c r="A10" s="50" t="str">
        <x:v>Псевдонимы</x:v>
      </x:c>
      <x:c r="B10" s="11" t="str">
        <x:v>Анатолий Брусникин и Анна Борисова включены отдельными переключаемыми дорожками.</x:v>
      </x:c>
    </x:row>
    <x:row r="12">
      <x:c r="A12" s="42" t="str">
        <x:v>Source / Catalogue</x:v>
      </x:c>
      <x:c r="B12" s="42" t="str">
        <x:v>URL</x:v>
      </x:c>
    </x:row>
    <x:row r="13">
      <x:c r="A13" s="11" t="str">
        <x:v>Current BAbook store and complete catalogue</x:v>
      </x:c>
      <x:c r="B13" s="11" t="str">
        <x:v>https://babook.org/store</x:v>
      </x:c>
    </x:row>
    <x:row r="14">
      <x:c r="A14" s="11" t="str">
        <x:v>Fandorin series</x:v>
      </x:c>
      <x:c r="B14" s="11" t="str">
        <x:v>https://babook.org/store/series/7</x:v>
      </x:c>
    </x:row>
    <x:row r="15">
      <x:c r="A15" s="11" t="str">
        <x:v>Magister series</x:v>
      </x:c>
      <x:c r="B15" s="11" t="str">
        <x:v>https://babook.org/store/series/8</x:v>
      </x:c>
    </x:row>
    <x:row r="16">
      <x:c r="A16" s="11" t="str">
        <x:v>Pelagia series</x:v>
      </x:c>
      <x:c r="B16" s="11" t="str">
        <x:v>https://babook.org/store/series/18</x:v>
      </x:c>
    </x:row>
    <x:row r="17">
      <x:c r="A17" s="11" t="str">
        <x:v>Bruderschaft series</x:v>
      </x:c>
      <x:c r="B17" s="11" t="str">
        <x:v>https://babook.org/store/series/2</x:v>
      </x:c>
    </x:row>
    <x:row r="18">
      <x:c r="A18" s="11" t="str">
        <x:v>Family Album</x:v>
      </x:c>
      <x:c r="B18" s="11" t="str">
        <x:v>https://babook.org/store/series/15</x:v>
      </x:c>
    </x:row>
    <x:row r="19">
      <x:c r="A19" s="11" t="str">
        <x:v>History of the State: fiction</x:v>
      </x:c>
      <x:c r="B19" s="11" t="str">
        <x:v>https://babook.org/store/series/12</x:v>
      </x:c>
    </x:row>
    <x:row r="20">
      <x:c r="A20" s="11" t="str">
        <x:v>Genres</x:v>
      </x:c>
      <x:c r="B20" s="11" t="str">
        <x:v>https://babook.org/store/series/3</x:v>
      </x:c>
    </x:row>
    <x:row r="21">
      <x:c r="A21" s="11" t="str">
        <x:v>Brusnikin project</x:v>
      </x:c>
      <x:c r="B21" s="11" t="str">
        <x:v>https://babook.org/store/series/11</x:v>
      </x:c>
    </x:row>
    <x:row r="22">
      <x:c r="A22" s="11" t="str">
        <x:v>Anna Borisova project</x:v>
      </x:c>
      <x:c r="B22" s="11" t="str">
        <x:v>https://babook.org/store/series/22</x:v>
      </x:c>
    </x:row>
  </x:sheetData>
  <x:mergeCells>
    <x:mergeCell ref="A1:H1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9" hidden="0" customWidth="1"/>
    <x:col min="2" max="2" width="32" hidden="0" customWidth="1"/>
    <x:col min="3" max="3" width="36" hidden="0" customWidth="1"/>
    <x:col min="4" max="4" width="17" hidden="0" customWidth="1"/>
    <x:col min="5" max="5" width="48" hidden="0" customWidth="1"/>
    <x:col min="6" max="6" width="44" hidden="0" customWidth="1"/>
  </x:cols>
  <x:sheetData>
    <x:row r="1">
      <x:c r="A1" s="52" t="str">
        <x:v>Priority</x:v>
      </x:c>
      <x:c r="B1" s="52" t="str">
        <x:v>Cycle</x:v>
      </x:c>
      <x:c r="C1" s="52" t="str">
        <x:v>Title</x:v>
      </x:c>
      <x:c r="D1" s="52" t="str">
        <x:v>Current Confidence</x:v>
      </x:c>
      <x:c r="E1" s="52" t="str">
        <x:v>Required Next Check</x:v>
      </x:c>
      <x:c r="F1" s="52" t="str">
        <x:v>Source</x:v>
      </x:c>
    </x:row>
    <x:row r="2">
      <x:c r="A2" s="11" t="str">
        <x:v>P2</x:v>
      </x:c>
      <x:c r="B2" s="11" t="str">
        <x:v>История государства: беллетристика</x:v>
      </x:c>
      <x:c r="C2" s="11" t="str">
        <x:v>Огненный перст</x:v>
      </x:c>
      <x:c r="D2" s="11" t="str">
        <x:v>Низкая</x:v>
      </x:c>
      <x:c r="E2" s="11" t="str">
        <x:v>Проверить точные календарные границы, ретроспекции и последовательность событий.</x:v>
      </x:c>
      <x:c r="F2" s="11" t="str">
        <x:v>https://babook.org/store/series/12</x:v>
      </x:c>
    </x:row>
    <x:row r="3">
      <x:c r="A3" s="11" t="str">
        <x:v>P2</x:v>
      </x:c>
      <x:c r="B3" s="11" t="str">
        <x:v>История государства: беллетристика</x:v>
      </x:c>
      <x:c r="C3" s="11" t="str">
        <x:v>Бох и Шельма</x:v>
      </x:c>
      <x:c r="D3" s="11" t="str">
        <x:v>Низкая</x:v>
      </x:c>
      <x:c r="E3" s="11" t="str">
        <x:v>Проверить точные календарные границы, ретроспекции и последовательность событий.</x:v>
      </x:c>
      <x:c r="F3" s="11" t="str">
        <x:v>https://babook.org/store/series/12</x:v>
      </x:c>
    </x:row>
    <x:row r="4">
      <x:c r="A4" s="11" t="str">
        <x:v>P2</x:v>
      </x:c>
      <x:c r="B4" s="11" t="str">
        <x:v>История государства: беллетристика</x:v>
      </x:c>
      <x:c r="C4" s="11" t="str">
        <x:v>Вдовий плат</x:v>
      </x:c>
      <x:c r="D4" s="11" t="str">
        <x:v>Низкая</x:v>
      </x:c>
      <x:c r="E4" s="11" t="str">
        <x:v>Проверить точные календарные границы, ретроспекции и последовательность событий.</x:v>
      </x:c>
      <x:c r="F4" s="11" t="str">
        <x:v>https://babook.org/store/series/12</x:v>
      </x:c>
    </x:row>
    <x:row r="5">
      <x:c r="A5" s="11" t="str">
        <x:v>P3</x:v>
      </x:c>
      <x:c r="B5" s="11" t="str">
        <x:v>История государства: беллетристика</x:v>
      </x:c>
      <x:c r="C5" s="11" t="str">
        <x:v>Седмица Трёхглазого</x:v>
      </x:c>
      <x:c r="D5" s="11" t="str">
        <x:v>Средняя</x:v>
      </x:c>
      <x:c r="E5" s="11" t="str">
        <x:v>Проверить точные календарные границы, ретроспекции и последовательность событий.</x:v>
      </x:c>
      <x:c r="F5" s="11" t="str">
        <x:v>https://babook.org/store/series/12</x:v>
      </x:c>
    </x:row>
    <x:row r="6">
      <x:c r="A6" s="11" t="str">
        <x:v>P3</x:v>
      </x:c>
      <x:c r="B6" s="11" t="str">
        <x:v>История государства: беллетристика</x:v>
      </x:c>
      <x:c r="C6" s="11" t="str">
        <x:v>Ореховый Будда</x:v>
      </x:c>
      <x:c r="D6" s="11" t="str">
        <x:v>Средняя</x:v>
      </x:c>
      <x:c r="E6" s="11" t="str">
        <x:v>Проверить точные календарные границы, ретроспекции и последовательность событий.</x:v>
      </x:c>
      <x:c r="F6" s="11" t="str">
        <x:v>https://babook.org/store/series/12</x:v>
      </x:c>
    </x:row>
    <x:row r="7">
      <x:c r="A7" s="11" t="str">
        <x:v>P3</x:v>
      </x:c>
      <x:c r="B7" s="11" t="str">
        <x:v>История государства: беллетристика</x:v>
      </x:c>
      <x:c r="C7" s="11" t="str">
        <x:v>Доброключения и рассуждения Луция Катина</x:v>
      </x:c>
      <x:c r="D7" s="11" t="str">
        <x:v>Средняя</x:v>
      </x:c>
      <x:c r="E7" s="11" t="str">
        <x:v>Проверить точные календарные границы, ретроспекции и последовательность событий.</x:v>
      </x:c>
      <x:c r="F7" s="11" t="str">
        <x:v>https://babook.org/store/series/12</x:v>
      </x:c>
    </x:row>
    <x:row r="8">
      <x:c r="A8" s="11" t="str">
        <x:v>P3</x:v>
      </x:c>
      <x:c r="B8" s="11" t="str">
        <x:v>История государства: беллетристика</x:v>
      </x:c>
      <x:c r="C8" s="11" t="str">
        <x:v>Мiр и война</x:v>
      </x:c>
      <x:c r="D8" s="11" t="str">
        <x:v>Средняя</x:v>
      </x:c>
      <x:c r="E8" s="11" t="str">
        <x:v>Проверить точные календарные границы, ретроспекции и последовательность событий.</x:v>
      </x:c>
      <x:c r="F8" s="11" t="str">
        <x:v>https://babook.org/store/series/12</x:v>
      </x:c>
    </x:row>
    <x:row r="9">
      <x:c r="A9" s="11" t="str">
        <x:v>P3</x:v>
      </x:c>
      <x:c r="B9" s="11" t="str">
        <x:v>История государства: беллетристика</x:v>
      </x:c>
      <x:c r="C9" s="11" t="str">
        <x:v>Дорога в Китеж</x:v>
      </x:c>
      <x:c r="D9" s="11" t="str">
        <x:v>Средняя</x:v>
      </x:c>
      <x:c r="E9" s="11" t="str">
        <x:v>Проверить точные календарные границы, ретроспекции и последовательность событий.</x:v>
      </x:c>
      <x:c r="F9" s="11" t="str">
        <x:v>https://babook.org/store/series/12</x:v>
      </x:c>
    </x:row>
    <x:row r="10">
      <x:c r="A10" s="11" t="str">
        <x:v>P3</x:v>
      </x:c>
      <x:c r="B10" s="11" t="str">
        <x:v>История государства: беллетристика</x:v>
      </x:c>
      <x:c r="C10" s="11" t="str">
        <x:v>Он уходя спросил</x:v>
      </x:c>
      <x:c r="D10" s="11" t="str">
        <x:v>Средняя</x:v>
      </x:c>
      <x:c r="E10" s="11" t="str">
        <x:v>Проверить точные календарные границы, ретроспекции и последовательность событий.</x:v>
      </x:c>
      <x:c r="F10" s="11" t="str">
        <x:v>https://babook.org/store/series/12</x:v>
      </x:c>
    </x:row>
    <x:row r="11">
      <x:c r="A11" s="11" t="str">
        <x:v>P3</x:v>
      </x:c>
      <x:c r="B11" s="11" t="str">
        <x:v>История государства: беллетристика</x:v>
      </x:c>
      <x:c r="C11" s="11" t="str">
        <x:v>Москва-Синьцзин</x:v>
      </x:c>
      <x:c r="D11" s="11" t="str">
        <x:v>Средняя</x:v>
      </x:c>
      <x:c r="E11" s="11" t="str">
        <x:v>Проверить точные календарные границы, ретроспекции и последовательность событий.</x:v>
      </x:c>
      <x:c r="F11" s="11" t="str">
        <x:v>https://babook.org/store/series/12</x:v>
      </x:c>
    </x:row>
    <x:row r="12">
      <x:c r="A12" s="11" t="str">
        <x:v>P3</x:v>
      </x:c>
      <x:c r="B12" s="11" t="str">
        <x:v>Приключения магистра</x:v>
      </x:c>
      <x:c r="C12" s="11" t="str">
        <x:v>Ф. М. — рукопись XIX века</x:v>
      </x:c>
      <x:c r="D12" s="11" t="str">
        <x:v>Средняя</x:v>
      </x:c>
      <x:c r="E12" s="11" t="str">
        <x:v>Проверить точные календарные границы, ретроспекции и последовательность событий.</x:v>
      </x:c>
      <x:c r="F12" s="11" t="str">
        <x:v>https://babook.org/store/series/8</x:v>
      </x:c>
    </x:row>
    <x:row r="13">
      <x:c r="A13" s="11" t="str">
        <x:v>P3</x:v>
      </x:c>
      <x:c r="B13" s="11" t="str">
        <x:v>Приключения магистра</x:v>
      </x:c>
      <x:c r="C13" s="11" t="str">
        <x:v>Алтын-толобас — Николас Фандорин</x:v>
      </x:c>
      <x:c r="D13" s="11" t="str">
        <x:v>Средняя</x:v>
      </x:c>
      <x:c r="E13" s="11" t="str">
        <x:v>Проверить точные календарные границы, ретроспекции и последовательность событий.</x:v>
      </x:c>
      <x:c r="F13" s="11" t="str">
        <x:v>https://babook.org/store/series/8</x:v>
      </x:c>
    </x:row>
    <x:row r="14">
      <x:c r="A14" s="11" t="str">
        <x:v>P3</x:v>
      </x:c>
      <x:c r="B14" s="11" t="str">
        <x:v>Приключения магистра</x:v>
      </x:c>
      <x:c r="C14" s="11" t="str">
        <x:v>Внеклассное чтение — современность</x:v>
      </x:c>
      <x:c r="D14" s="11" t="str">
        <x:v>Средняя</x:v>
      </x:c>
      <x:c r="E14" s="11" t="str">
        <x:v>Проверить точные календарные границы, ретроспекции и последовательность событий.</x:v>
      </x:c>
      <x:c r="F14" s="11" t="str">
        <x:v>https://babook.org/store/series/8</x:v>
      </x:c>
    </x:row>
    <x:row r="15">
      <x:c r="A15" s="11" t="str">
        <x:v>P3</x:v>
      </x:c>
      <x:c r="B15" s="11" t="str">
        <x:v>Эраст Фандорин</x:v>
      </x:c>
      <x:c r="C15" s="11" t="str">
        <x:v>Сигумо</x:v>
      </x:c>
      <x:c r="D15" s="11" t="str">
        <x:v>Средняя</x:v>
      </x:c>
      <x:c r="E15" s="11" t="str">
        <x:v>Проверить точные календарные границы, ретроспекции и последовательность событий.</x:v>
      </x:c>
      <x:c r="F15" s="11" t="str">
        <x:v>https://ru.wikipedia.org/wiki/Нефритовые_чётки</x:v>
      </x:c>
    </x:row>
    <x:row r="16">
      <x:c r="A16" s="11" t="str">
        <x:v>P3</x:v>
      </x:c>
      <x:c r="B16" s="11" t="str">
        <x:v>Эраст Фандорин</x:v>
      </x:c>
      <x:c r="C16" s="11" t="str">
        <x:v>Table-Talk 1882 года</x:v>
      </x:c>
      <x:c r="D16" s="11" t="str">
        <x:v>Средняя</x:v>
      </x:c>
      <x:c r="E16" s="11" t="str">
        <x:v>Проверить точные календарные границы, ретроспекции и последовательность событий.</x:v>
      </x:c>
      <x:c r="F16" s="11" t="str">
        <x:v>https://ru.wikipedia.org/wiki/Нефритовые_чётки</x:v>
      </x:c>
    </x:row>
    <x:row r="17">
      <x:c r="A17" s="11" t="str">
        <x:v>P3</x:v>
      </x:c>
      <x:c r="B17" s="11" t="str">
        <x:v>Эраст Фандорин</x:v>
      </x:c>
      <x:c r="C17" s="11" t="str">
        <x:v>Инь и Ян</x:v>
      </x:c>
      <x:c r="D17" s="11" t="str">
        <x:v>Средняя</x:v>
      </x:c>
      <x:c r="E17" s="11" t="str">
        <x:v>Проверить точные календарные границы, ретроспекции и последовательность событий.</x:v>
      </x:c>
      <x:c r="F17" s="11" t="str">
        <x:v>https://en.wikipedia.org/wiki/Ying_and_Yan</x:v>
      </x:c>
    </x:row>
    <x:row r="18">
      <x:c r="A18" s="11" t="str">
        <x:v>P3</x:v>
      </x:c>
      <x:c r="B18" s="11" t="str">
        <x:v>Эраст Фандорин</x:v>
      </x:c>
      <x:c r="C18" s="11" t="str">
        <x:v>Из жизни щепок</x:v>
      </x:c>
      <x:c r="D18" s="11" t="str">
        <x:v>Средняя</x:v>
      </x:c>
      <x:c r="E18" s="11" t="str">
        <x:v>Проверить точные календарные границы, ретроспекции и последовательность событий.</x:v>
      </x:c>
      <x:c r="F18" s="11" t="str">
        <x:v>https://ru.wikipedia.org/wiki/Нефритовые_чётки</x:v>
      </x:c>
    </x:row>
    <x:row r="19">
      <x:c r="A19" s="11" t="str">
        <x:v>P3</x:v>
      </x:c>
      <x:c r="B19" s="11" t="str">
        <x:v>Эраст Фандорин</x:v>
      </x:c>
      <x:c r="C19" s="11" t="str">
        <x:v>Нефритовые чётки</x:v>
      </x:c>
      <x:c r="D19" s="11" t="str">
        <x:v>Средняя</x:v>
      </x:c>
      <x:c r="E19" s="11" t="str">
        <x:v>Проверить точные календарные границы, ретроспекции и последовательность событий.</x:v>
      </x:c>
      <x:c r="F19" s="11" t="str">
        <x:v>https://ru.wikipedia.org/wiki/Нефритовые_чётки</x:v>
      </x:c>
    </x:row>
    <x:row r="20">
      <x:c r="A20" s="11" t="str">
        <x:v>P3</x:v>
      </x:c>
      <x:c r="B20" s="11" t="str">
        <x:v>Эраст Фандорин</x:v>
      </x:c>
      <x:c r="C20" s="11" t="str">
        <x:v>Скарпея Баскаковых</x:v>
      </x:c>
      <x:c r="D20" s="11" t="str">
        <x:v>Средняя</x:v>
      </x:c>
      <x:c r="E20" s="11" t="str">
        <x:v>Проверить точные календарные границы, ретроспекции и последовательность событий.</x:v>
      </x:c>
      <x:c r="F20" s="11" t="str">
        <x:v>https://ru.wikipedia.org/wiki/Нефритовые_чётки</x:v>
      </x:c>
    </x:row>
    <x:row r="21">
      <x:c r="A21" s="11" t="str">
        <x:v>P3</x:v>
      </x:c>
      <x:c r="B21" s="11" t="str">
        <x:v>Эраст Фандорин</x:v>
      </x:c>
      <x:c r="C21" s="11" t="str">
        <x:v>Одна десятая процента</x:v>
      </x:c>
      <x:c r="D21" s="11" t="str">
        <x:v>Средняя</x:v>
      </x:c>
      <x:c r="E21" s="11" t="str">
        <x:v>Проверить точные календарные границы, ретроспекции и последовательность событий.</x:v>
      </x:c>
      <x:c r="F21" s="11" t="str">
        <x:v>https://ru.wikipedia.org/wiki/Нефритовые_чётки</x:v>
      </x:c>
    </x:row>
    <x:row r="22">
      <x:c r="A22" s="11" t="str">
        <x:v>P3</x:v>
      </x:c>
      <x:c r="B22" s="11" t="str">
        <x:v>Эраст Фандорин</x:v>
      </x:c>
      <x:c r="C22" s="11" t="str">
        <x:v>Чаепитие в Бристоле</x:v>
      </x:c>
      <x:c r="D22" s="11" t="str">
        <x:v>Средняя</x:v>
      </x:c>
      <x:c r="E22" s="11" t="str">
        <x:v>Проверить точные календарные границы, ретроспекции и последовательность событий.</x:v>
      </x:c>
      <x:c r="F22" s="11" t="str">
        <x:v>https://ru.wikipedia.org/wiki/Нефритовые_чётки</x:v>
      </x:c>
    </x:row>
    <x:row r="23">
      <x:c r="A23" s="11" t="str">
        <x:v>P3</x:v>
      </x:c>
      <x:c r="B23" s="11" t="str">
        <x:v>Эраст Фандорин</x:v>
      </x:c>
      <x:c r="C23" s="11" t="str">
        <x:v>Долина Мечты</x:v>
      </x:c>
      <x:c r="D23" s="11" t="str">
        <x:v>Средняя</x:v>
      </x:c>
      <x:c r="E23" s="11" t="str">
        <x:v>Проверить точные календарные границы, ретроспекции и последовательность событий.</x:v>
      </x:c>
      <x:c r="F23" s="11" t="str">
        <x:v>https://ru.wikipedia.org/wiki/Нефритовые_чётки</x:v>
      </x:c>
    </x:row>
    <x:row r="24">
      <x:c r="A24" s="11" t="str">
        <x:v>P3</x:v>
      </x:c>
      <x:c r="B24" s="11" t="str">
        <x:v>Эраст Фандорин</x:v>
      </x:c>
      <x:c r="C24" s="11" t="str">
        <x:v>Перед концом света</x:v>
      </x:c>
      <x:c r="D24" s="11" t="str">
        <x:v>Средняя</x:v>
      </x:c>
      <x:c r="E24" s="11" t="str">
        <x:v>Проверить точные календарные границы, ретроспекции и последовательность событий.</x:v>
      </x:c>
      <x:c r="F24" s="11" t="str">
        <x:v>https://ru.wikipedia.org/wiki/Нефритовые_чётки</x:v>
      </x:c>
    </x:row>
    <x:row r="25">
      <x:c r="A25" s="11" t="str">
        <x:v>P3</x:v>
      </x:c>
      <x:c r="B25" s="11" t="str">
        <x:v>Эраст Фандорин</x:v>
      </x:c>
      <x:c r="C25" s="11" t="str">
        <x:v>Узница башни</x:v>
      </x:c>
      <x:c r="D25" s="11" t="str">
        <x:v>Средняя</x:v>
      </x:c>
      <x:c r="E25" s="11" t="str">
        <x:v>Проверить точные календарные границы, ретроспекции и последовательность событий.</x:v>
      </x:c>
      <x:c r="F25" s="11" t="str">
        <x:v>https://ru.wikipedia.org/wiki/Нефритовые_чётки</x:v>
      </x:c>
    </x:row>
    <x:row r="26">
      <x:c r="A26" s="11" t="str">
        <x:v>P3</x:v>
      </x:c>
      <x:c r="B26" s="11" t="str">
        <x:v>Эраст Фандорин</x:v>
      </x:c>
      <x:c r="C26" s="11" t="str">
        <x:v>Планета Вода</x:v>
      </x:c>
      <x:c r="D26" s="11" t="str">
        <x:v>Средняя</x:v>
      </x:c>
      <x:c r="E26" s="11" t="str">
        <x:v>Проверить точные календарные границы, ретроспекции и последовательность событий.</x:v>
      </x:c>
      <x:c r="F26" s="11" t="str">
        <x:v>https://babook.org/store</x:v>
      </x:c>
    </x:row>
    <x:row r="27">
      <x:c r="A27" s="11" t="str">
        <x:v>P3</x:v>
      </x:c>
      <x:c r="B27" s="11" t="str">
        <x:v>Эраст Фандорин</x:v>
      </x:c>
      <x:c r="C27" s="11" t="str">
        <x:v>Парус одинокий</x:v>
      </x:c>
      <x:c r="D27" s="11" t="str">
        <x:v>Средняя</x:v>
      </x:c>
      <x:c r="E27" s="11" t="str">
        <x:v>Проверить точные календарные границы, ретроспекции и последовательность событий.</x:v>
      </x:c>
      <x:c r="F27" s="11" t="str">
        <x:v>https://babook.org/store</x:v>
      </x:c>
    </x:row>
    <x:row r="28">
      <x:c r="A28" s="11" t="str">
        <x:v>P3</x:v>
      </x:c>
      <x:c r="B28" s="11" t="str">
        <x:v>Эраст Фандорин</x:v>
      </x:c>
      <x:c r="C28" s="11" t="str">
        <x:v>Куда ж нам плыть?</x:v>
      </x:c>
      <x:c r="D28" s="11" t="str">
        <x:v>Средняя</x:v>
      </x:c>
      <x:c r="E28" s="11" t="str">
        <x:v>Проверить точные календарные границы, ретроспекции и последовательность событий.</x:v>
      </x:c>
      <x:c r="F28" s="11" t="str">
        <x:v>https://babook.org/store</x:v>
      </x:c>
    </x:row>
    <x:row r="29">
      <x:c r="A29" s="11" t="str">
        <x:v>P3</x:v>
      </x:c>
      <x:c r="B29" s="11" t="str">
        <x:v>Эраст Фандорин</x:v>
      </x:c>
      <x:c r="C29" s="11" t="str">
        <x:v>Дао Эраста Фандорина — III</x:v>
      </x:c>
      <x:c r="D29" s="11" t="str">
        <x:v>Средняя</x:v>
      </x:c>
      <x:c r="E29" s="11" t="str">
        <x:v>Проверить точные календарные границы, ретроспекции и последовательность событий.</x:v>
      </x:c>
      <x:c r="F29" s="11" t="str">
        <x:v>https://babook.org/posts/237</x:v>
      </x:c>
    </x:row>
    <x:row r="30">
      <x:c r="A30" s="11" t="str">
        <x:v>P3</x:v>
      </x:c>
      <x:c r="B30" s="11" t="str">
        <x:v>Эраст Фандорин</x:v>
      </x:c>
      <x:c r="C30" s="11" t="str">
        <x:v>Не прощаюсь — эпилог</x:v>
      </x:c>
      <x:c r="D30" s="11" t="str">
        <x:v>Средняя</x:v>
      </x:c>
      <x:c r="E30" s="11" t="str">
        <x:v>Проверить точные календарные границы, ретроспекции и последовательность событий.</x:v>
      </x:c>
      <x:c r="F30" s="11" t="str">
        <x:v>https://babook.org/drupal/sites/default/files/2025-06/NeProschayusNew1.pdf</x:v>
      </x:c>
    </x:row>
    <x:row r="31">
      <x:c r="A31" s="11" t="str">
        <x:v>P1</x:v>
      </x:c>
      <x:c r="B31" s="11" t="str">
        <x:v>Эраст Фандорин</x:v>
      </x:c>
      <x:c r="C31" s="11" t="str">
        <x:v>Лягушка Басё</x:v>
      </x:c>
      <x:c r="D31" s="11" t="str">
        <x:v>Низкая</x:v>
      </x:c>
      <x:c r="E31" s="11" t="str">
        <x:v>Установить внутренний год и временные пласты по полному тексту.</x:v>
      </x:c>
      <x:c r="F31" s="11" t="str">
        <x:v>https://babook.org/store/51-56</x:v>
      </x:c>
    </x:row>
    <x:row r="32">
      <x:c r="A32" s="11" t="str">
        <x:v>P2</x:v>
      </x:c>
      <x:c r="B32" s="11" t="str">
        <x:v>Масахиро Сибата</x:v>
      </x:c>
      <x:c r="C32" s="11" t="str">
        <x:v>Яма</x:v>
      </x:c>
      <x:c r="D32" s="11" t="str">
        <x:v>Низкая</x:v>
      </x:c>
      <x:c r="E32" s="11" t="str">
        <x:v>Проверить точные календарные границы, ретроспекции и последовательность событий.</x:v>
      </x:c>
      <x:c r="F32" s="11" t="str">
        <x:v>https://babook.org/store/series/10</x:v>
      </x:c>
    </x:row>
    <x:row r="33">
      <x:c r="A33" s="11" t="str">
        <x:v>P3</x:v>
      </x:c>
      <x:c r="B33" s="11" t="str">
        <x:v>Масахиро Сибата</x:v>
      </x:c>
      <x:c r="C33" s="11" t="str">
        <x:v>Просто Маса</x:v>
      </x:c>
      <x:c r="D33" s="11" t="str">
        <x:v>Средняя</x:v>
      </x:c>
      <x:c r="E33" s="11" t="str">
        <x:v>Проверить точные календарные границы, ретроспекции и последовательность событий.</x:v>
      </x:c>
      <x:c r="F33" s="11" t="str">
        <x:v>https://babook.org/store/series/10</x:v>
      </x:c>
    </x:row>
    <x:row r="34">
      <x:c r="A34" s="11" t="str">
        <x:v>P2</x:v>
      </x:c>
      <x:c r="B34" s="11" t="str">
        <x:v>Провинциальный детектив</x:v>
      </x:c>
      <x:c r="C34" s="11" t="str">
        <x:v>Пелагия и белый бульдог</x:v>
      </x:c>
      <x:c r="D34" s="11" t="str">
        <x:v>Низкая</x:v>
      </x:c>
      <x:c r="E34" s="11" t="str">
        <x:v>Проверить точные календарные границы, ретроспекции и последовательность событий.</x:v>
      </x:c>
      <x:c r="F34" s="11" t="str">
        <x:v>https://babook.org/store/series/18</x:v>
      </x:c>
    </x:row>
    <x:row r="35">
      <x:c r="A35" s="11" t="str">
        <x:v>P2</x:v>
      </x:c>
      <x:c r="B35" s="11" t="str">
        <x:v>Провинциальный детектив</x:v>
      </x:c>
      <x:c r="C35" s="11" t="str">
        <x:v>Пелагия и чёрный монах</x:v>
      </x:c>
      <x:c r="D35" s="11" t="str">
        <x:v>Низкая</x:v>
      </x:c>
      <x:c r="E35" s="11" t="str">
        <x:v>Проверить точные календарные границы, ретроспекции и последовательность событий.</x:v>
      </x:c>
      <x:c r="F35" s="11" t="str">
        <x:v>https://babook.org/store/series/18</x:v>
      </x:c>
    </x:row>
    <x:row r="36">
      <x:c r="A36" s="11" t="str">
        <x:v>P2</x:v>
      </x:c>
      <x:c r="B36" s="11" t="str">
        <x:v>Провинциальный детектив</x:v>
      </x:c>
      <x:c r="C36" s="11" t="str">
        <x:v>Пелагия и красный петух</x:v>
      </x:c>
      <x:c r="D36" s="11" t="str">
        <x:v>Низкая</x:v>
      </x:c>
      <x:c r="E36" s="11" t="str">
        <x:v>Проверить точные календарные границы, ретроспекции и последовательность событий.</x:v>
      </x:c>
      <x:c r="F36" s="11" t="str">
        <x:v>https://babook.org/store/series/18</x:v>
      </x:c>
    </x:row>
    <x:row r="37">
      <x:c r="A37" s="11" t="str">
        <x:v>P1</x:v>
      </x:c>
      <x:c r="B37" s="11" t="str">
        <x:v>Пьесы</x:v>
      </x:c>
      <x:c r="C37" s="11" t="str">
        <x:v>Трагедия Комедия</x:v>
      </x:c>
      <x:c r="D37" s="11" t="str">
        <x:v>Низкая</x:v>
      </x:c>
      <x:c r="E37" s="11" t="str">
        <x:v>Установить внутренний год и временные пласты по полному тексту.</x:v>
      </x:c>
      <x:c r="F37" s="11" t="str">
        <x:v>https://babook.org/store</x:v>
      </x:c>
    </x:row>
    <x:row r="38">
      <x:c r="A38" s="11" t="str">
        <x:v>P3</x:v>
      </x:c>
      <x:c r="B38" s="11" t="str">
        <x:v>Семейный альбом</x:v>
      </x:c>
      <x:c r="C38" s="11" t="str">
        <x:v>Аристономия</x:v>
      </x:c>
      <x:c r="D38" s="11" t="str">
        <x:v>Средняя</x:v>
      </x:c>
      <x:c r="E38" s="11" t="str">
        <x:v>Проверить точные календарные границы, ретроспекции и последовательность событий.</x:v>
      </x:c>
      <x:c r="F38" s="11" t="str">
        <x:v>https://babook.org/store/series/15</x:v>
      </x:c>
    </x:row>
    <x:row r="39">
      <x:c r="A39" s="11" t="str">
        <x:v>P3</x:v>
      </x:c>
      <x:c r="B39" s="11" t="str">
        <x:v>Семейный альбом</x:v>
      </x:c>
      <x:c r="C39" s="11" t="str">
        <x:v>Другой путь</x:v>
      </x:c>
      <x:c r="D39" s="11" t="str">
        <x:v>Средняя</x:v>
      </x:c>
      <x:c r="E39" s="11" t="str">
        <x:v>Проверить точные календарные границы, ретроспекции и последовательность событий.</x:v>
      </x:c>
      <x:c r="F39" s="11" t="str">
        <x:v>https://babook.org/store/series/15</x:v>
      </x:c>
    </x:row>
    <x:row r="40">
      <x:c r="A40" s="11" t="str">
        <x:v>P3</x:v>
      </x:c>
      <x:c r="B40" s="11" t="str">
        <x:v>Семейный альбом</x:v>
      </x:c>
      <x:c r="C40" s="11" t="str">
        <x:v>Счастливая Россия</x:v>
      </x:c>
      <x:c r="D40" s="11" t="str">
        <x:v>Средняя</x:v>
      </x:c>
      <x:c r="E40" s="11" t="str">
        <x:v>Проверить точные календарные границы, ретроспекции и последовательность событий.</x:v>
      </x:c>
      <x:c r="F40" s="11" t="str">
        <x:v>https://babook.org/store/series/15</x:v>
      </x:c>
    </x:row>
    <x:row r="41">
      <x:c r="A41" s="11" t="str">
        <x:v>P3</x:v>
      </x:c>
      <x:c r="B41" s="11" t="str">
        <x:v>Семейный альбом</x:v>
      </x:c>
      <x:c r="C41" s="11" t="str">
        <x:v>Трезориум</x:v>
      </x:c>
      <x:c r="D41" s="11" t="str">
        <x:v>Средняя</x:v>
      </x:c>
      <x:c r="E41" s="11" t="str">
        <x:v>Проверить точные календарные границы, ретроспекции и последовательность событий.</x:v>
      </x:c>
      <x:c r="F41" s="11" t="str">
        <x:v>https://babook.org/store/series/15</x:v>
      </x:c>
    </x:row>
    <x:row r="42">
      <x:c r="A42" s="11" t="str">
        <x:v>P3</x:v>
      </x:c>
      <x:c r="B42" s="11" t="str">
        <x:v>Семейный альбом</x:v>
      </x:c>
      <x:c r="C42" s="11" t="str">
        <x:v>Медвежатница</x:v>
      </x:c>
      <x:c r="D42" s="11" t="str">
        <x:v>Средняя</x:v>
      </x:c>
      <x:c r="E42" s="11" t="str">
        <x:v>Проверить точные календарные границы, ретроспекции и последовательность событий.</x:v>
      </x:c>
      <x:c r="F42" s="11" t="str">
        <x:v>https://babook.org/store/series/15</x:v>
      </x:c>
    </x:row>
    <x:row r="43">
      <x:c r="A43" s="11" t="str">
        <x:v>P3</x:v>
      </x:c>
      <x:c r="B43" s="11" t="str">
        <x:v>Семейный альбом</x:v>
      </x:c>
      <x:c r="C43" s="11" t="str">
        <x:v>Собачья смерть</x:v>
      </x:c>
      <x:c r="D43" s="11" t="str">
        <x:v>Средняя</x:v>
      </x:c>
      <x:c r="E43" s="11" t="str">
        <x:v>Проверить точные календарные границы, ретроспекции и последовательность событий.</x:v>
      </x:c>
      <x:c r="F43" s="11" t="str">
        <x:v>https://babook.org/store/series/15</x:v>
      </x:c>
    </x:row>
    <x:row r="44">
      <x:c r="A44" s="11" t="str">
        <x:v>P3</x:v>
      </x:c>
      <x:c r="B44" s="11" t="str">
        <x:v>Семейный альбом</x:v>
      </x:c>
      <x:c r="C44" s="11" t="str">
        <x:v>На санях</x:v>
      </x:c>
      <x:c r="D44" s="11" t="str">
        <x:v>Средняя</x:v>
      </x:c>
      <x:c r="E44" s="11" t="str">
        <x:v>Проверить точные календарные границы, ретроспекции и последовательность событий.</x:v>
      </x:c>
      <x:c r="F44" s="11" t="str">
        <x:v>https://babook.org/store/series/15</x:v>
      </x:c>
    </x:row>
    <x:row r="45">
      <x:c r="A45" s="11" t="str">
        <x:v>P2</x:v>
      </x:c>
      <x:c r="B45" s="11" t="str">
        <x:v>Жанры и пограничная проза</x:v>
      </x:c>
      <x:c r="C45" s="11" t="str">
        <x:v>Квест — историческая линия</x:v>
      </x:c>
      <x:c r="D45" s="11" t="str">
        <x:v>Низкая</x:v>
      </x:c>
      <x:c r="E45" s="11" t="str">
        <x:v>Проверить точные календарные границы, ретроспекции и последовательность событий.</x:v>
      </x:c>
      <x:c r="F45" s="11" t="str">
        <x:v>https://babook.org/store/series/3</x:v>
      </x:c>
    </x:row>
    <x:row r="46">
      <x:c r="A46" s="11" t="str">
        <x:v>P3</x:v>
      </x:c>
      <x:c r="B46" s="11" t="str">
        <x:v>Жанры и пограничная проза</x:v>
      </x:c>
      <x:c r="C46" s="11" t="str">
        <x:v>Квест — советская линия</x:v>
      </x:c>
      <x:c r="D46" s="11" t="str">
        <x:v>Средняя</x:v>
      </x:c>
      <x:c r="E46" s="11" t="str">
        <x:v>Проверить точные календарные границы, ретроспекции и последовательность событий.</x:v>
      </x:c>
      <x:c r="F46" s="11" t="str">
        <x:v>https://babook.org/store/series/3</x:v>
      </x:c>
    </x:row>
    <x:row r="47">
      <x:c r="A47" s="11" t="str">
        <x:v>P3</x:v>
      </x:c>
      <x:c r="B47" s="11" t="str">
        <x:v>Жанры и пограничная проза</x:v>
      </x:c>
      <x:c r="C47" s="11" t="str">
        <x:v>Метаморфозы</x:v>
      </x:c>
      <x:c r="D47" s="11" t="str">
        <x:v>Средняя</x:v>
      </x:c>
      <x:c r="E47" s="11" t="str">
        <x:v>Проверить точные календарные границы, ретроспекции и последовательность событий.</x:v>
      </x:c>
      <x:c r="F47" s="11" t="str">
        <x:v>https://babook.org/store/series/3</x:v>
      </x:c>
    </x:row>
    <x:row r="48">
      <x:c r="A48" s="11" t="str">
        <x:v>P2</x:v>
      </x:c>
      <x:c r="B48" s="11" t="str">
        <x:v>Жанры и пограничная проза</x:v>
      </x:c>
      <x:c r="C48" s="11" t="str">
        <x:v>Детская книга для мальчиков</x:v>
      </x:c>
      <x:c r="D48" s="11" t="str">
        <x:v>Низкая</x:v>
      </x:c>
      <x:c r="E48" s="11" t="str">
        <x:v>Проверить точные календарные границы, ретроспекции и последовательность событий.</x:v>
      </x:c>
      <x:c r="F48" s="11" t="str">
        <x:v>https://babook.org/store/series/3</x:v>
      </x:c>
    </x:row>
    <x:row r="49">
      <x:c r="A49" s="11" t="str">
        <x:v>P2</x:v>
      </x:c>
      <x:c r="B49" s="11" t="str">
        <x:v>Жанры и пограничная проза</x:v>
      </x:c>
      <x:c r="C49" s="11" t="str">
        <x:v>Фантастика</x:v>
      </x:c>
      <x:c r="D49" s="11" t="str">
        <x:v>Низкая</x:v>
      </x:c>
      <x:c r="E49" s="11" t="str">
        <x:v>Проверить точные календарные границы, ретроспекции и последовательность событий.</x:v>
      </x:c>
      <x:c r="F49" s="11" t="str">
        <x:v>https://babook.org/store/series/3</x:v>
      </x:c>
    </x:row>
    <x:row r="50">
      <x:c r="A50" s="11" t="str">
        <x:v>P2</x:v>
      </x:c>
      <x:c r="B50" s="11" t="str">
        <x:v>Жанры и пограничная проза</x:v>
      </x:c>
      <x:c r="C50" s="11" t="str">
        <x:v>Проснись!</x:v>
      </x:c>
      <x:c r="D50" s="11" t="str">
        <x:v>Низкая</x:v>
      </x:c>
      <x:c r="E50" s="11" t="str">
        <x:v>Проверить точные календарные границы, ретроспекции и последовательность событий.</x:v>
      </x:c>
      <x:c r="F50" s="11" t="str">
        <x:v>https://babook.org/store/series/3</x:v>
      </x:c>
    </x:row>
    <x:row r="51">
      <x:c r="A51" s="11" t="str">
        <x:v>P1</x:v>
      </x:c>
      <x:c r="B51" s="11" t="str">
        <x:v>Жанры и пограничная проза</x:v>
      </x:c>
      <x:c r="C51" s="11" t="str">
        <x:v>Год как хокку</x:v>
      </x:c>
      <x:c r="D51" s="11" t="str">
        <x:v>Низкая</x:v>
      </x:c>
      <x:c r="E51" s="11" t="str">
        <x:v>Установить внутренний год и временные пласты по полному тексту.</x:v>
      </x:c>
      <x:c r="F51" s="11" t="str">
        <x:v>https://babook.org/store/series/3</x:v>
      </x:c>
    </x:row>
    <x:row r="52">
      <x:c r="A52" s="11" t="str">
        <x:v>P1</x:v>
      </x:c>
      <x:c r="B52" s="11" t="str">
        <x:v>Жанры и пограничная проза</x:v>
      </x:c>
      <x:c r="C52" s="11" t="str">
        <x:v>Два Дао</x:v>
      </x:c>
      <x:c r="D52" s="11" t="str">
        <x:v>Низкая</x:v>
      </x:c>
      <x:c r="E52" s="11" t="str">
        <x:v>Установить внутренний год и временные пласты по полному тексту.</x:v>
      </x:c>
      <x:c r="F52" s="11" t="str">
        <x:v>https://babook.org/store/series/3</x:v>
      </x:c>
    </x:row>
    <x:row r="53">
      <x:c r="A53" s="11" t="str">
        <x:v>P1</x:v>
      </x:c>
      <x:c r="B53" s="11" t="str">
        <x:v>Жанры и пограничная проза</x:v>
      </x:c>
      <x:c r="C53" s="11" t="str">
        <x:v>ЛЕГО</x:v>
      </x:c>
      <x:c r="D53" s="11" t="str">
        <x:v>Низкая</x:v>
      </x:c>
      <x:c r="E53" s="11" t="str">
        <x:v>Установить внутренний год и временные пласты по полному тексту.</x:v>
      </x:c>
      <x:c r="F53" s="11" t="str">
        <x:v>https://babook.org/store/series/3</x:v>
      </x:c>
    </x:row>
    <x:row r="54">
      <x:c r="A54" s="11" t="str">
        <x:v>P1</x:v>
      </x:c>
      <x:c r="B54" s="11" t="str">
        <x:v>Жанры и пограничная проза</x:v>
      </x:c>
      <x:c r="C54" s="11" t="str">
        <x:v>Поколение М</x:v>
      </x:c>
      <x:c r="D54" s="11" t="str">
        <x:v>Низкая</x:v>
      </x:c>
      <x:c r="E54" s="11" t="str">
        <x:v>Установить внутренний год и временные пласты по полному тексту.</x:v>
      </x:c>
      <x:c r="F54" s="11" t="str">
        <x:v>https://babook.org/store/series/3</x:v>
      </x:c>
    </x:row>
    <x:row r="55">
      <x:c r="A55" s="11" t="str">
        <x:v>P1</x:v>
      </x:c>
      <x:c r="B55" s="11" t="str">
        <x:v>Жанры и пограничная проза</x:v>
      </x:c>
      <x:c r="C55" s="11" t="str">
        <x:v>Сказки Старого, Нового и Иного Света</x:v>
      </x:c>
      <x:c r="D55" s="11" t="str">
        <x:v>Низкая</x:v>
      </x:c>
      <x:c r="E55" s="11" t="str">
        <x:v>Установить внутренний год и временные пласты по полному тексту.</x:v>
      </x:c>
      <x:c r="F55" s="11" t="str">
        <x:v>https://babook.org/store/series/3</x:v>
      </x:c>
    </x:row>
    <x:row r="56">
      <x:c r="A56" s="11" t="str">
        <x:v>P2</x:v>
      </x:c>
      <x:c r="B56" s="11" t="str">
        <x:v>Проект «Осьминог»</x:v>
      </x:c>
      <x:c r="C56" s="11" t="str">
        <x:v>Сулажин</x:v>
      </x:c>
      <x:c r="D56" s="11" t="str">
        <x:v>Низкая</x:v>
      </x:c>
      <x:c r="E56" s="11" t="str">
        <x:v>Проверить точные календарные границы, ретроспекции и последовательность событий.</x:v>
      </x:c>
      <x:c r="F56" s="11" t="str">
        <x:v>https://babook.org/store</x:v>
      </x:c>
    </x:row>
    <x:row r="57">
      <x:c r="A57" s="11" t="str">
        <x:v>P1</x:v>
      </x:c>
      <x:c r="B57" s="11" t="str">
        <x:v>Проект «Осьминог»</x:v>
      </x:c>
      <x:c r="C57" s="11" t="str">
        <x:v>Лягушка Басё</x:v>
      </x:c>
      <x:c r="D57" s="11" t="str">
        <x:v>Низкая</x:v>
      </x:c>
      <x:c r="E57" s="11" t="str">
        <x:v>Установить внутренний год и временные пласты по полному тексту.</x:v>
      </x:c>
      <x:c r="F57" s="11" t="str">
        <x:v>https://babook.org/store</x:v>
      </x:c>
    </x:row>
    <x:row r="58">
      <x:c r="A58" s="11" t="str">
        <x:v>P2</x:v>
      </x:c>
      <x:c r="B58" s="11" t="str">
        <x:v>Проект «Авторы»: Анна Борисова</x:v>
      </x:c>
      <x:c r="C58" s="11" t="str">
        <x:v>Vremena Goda</x:v>
      </x:c>
      <x:c r="D58" s="11" t="str">
        <x:v>Низкая</x:v>
      </x:c>
      <x:c r="E58" s="11" t="str">
        <x:v>Проверить точные календарные границы, ретроспекции и последовательность событий.</x:v>
      </x:c>
      <x:c r="F58" s="11" t="str">
        <x:v>https://babook.org/store/series/22</x:v>
      </x:c>
    </x:row>
    <x:row r="59">
      <x:c r="A59" s="11" t="str">
        <x:v>P2</x:v>
      </x:c>
      <x:c r="B59" s="11" t="str">
        <x:v>Проект «Авторы»: Анна Борисова</x:v>
      </x:c>
      <x:c r="C59" s="11" t="str">
        <x:v>Креативщик</x:v>
      </x:c>
      <x:c r="D59" s="11" t="str">
        <x:v>Низкая</x:v>
      </x:c>
      <x:c r="E59" s="11" t="str">
        <x:v>Проверить точные календарные границы, ретроспекции и последовательность событий.</x:v>
      </x:c>
      <x:c r="F59" s="11" t="str">
        <x:v>https://babook.org/store/series/22</x:v>
      </x:c>
    </x:row>
    <x:row r="60">
      <x:c r="A60" s="11" t="str">
        <x:v>P2</x:v>
      </x:c>
      <x:c r="B60" s="11" t="str">
        <x:v>Проект «Авторы»: Анна Борисова</x:v>
      </x:c>
      <x:c r="C60" s="11" t="str">
        <x:v>Там</x:v>
      </x:c>
      <x:c r="D60" s="11" t="str">
        <x:v>Низкая</x:v>
      </x:c>
      <x:c r="E60" s="11" t="str">
        <x:v>Проверить точные календарные границы, ретроспекции и последовательность событий.</x:v>
      </x:c>
      <x:c r="F60" s="11" t="str">
        <x:v>https://babook.org/store/series/22</x:v>
      </x:c>
    </x:row>
  </x:sheetData>
  <x:conditionalFormatting sqref="A2:A60">
    <x:cfRule type="expression" dxfId="3" priority="1">
      <x:formula>A2="P1"</x:formula>
    </x:cfRule>
    <x:cfRule type="expression" dxfId="4" priority="2">
      <x:formula>A2="P2"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7730b0514b754666"/>
  </x:tableParts>
</x:worksheet>
</file>